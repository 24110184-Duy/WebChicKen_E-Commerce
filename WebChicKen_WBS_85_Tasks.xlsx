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 - 85 Tasks Backlog" state="visible" r:id="rId4"/>
    <sheet sheetId="2" name="Thống kê Tiến độ (Dashboard)" state="visible" r:id="rId5"/>
  </sheets>
  <calcPr calcId="171027"/>
</workbook>
</file>

<file path=xl/sharedStrings.xml><?xml version="1.0" encoding="utf-8"?>
<sst xmlns="http://schemas.openxmlformats.org/spreadsheetml/2006/main" count="793" uniqueCount="416">
  <si>
    <t>DỰ ÁN WEBCHICKEN E-COMMERCE — BẢN PHÂN RÃ CÔNG VIỆC (WBS 85 TASKS BACKLOG)</t>
  </si>
  <si>
    <t>MÃ TASK</t>
  </si>
  <si>
    <t>GIAI ĐOẠN (PHASE)</t>
  </si>
  <si>
    <t>PHÂN HỆ / MODULE</t>
  </si>
  <si>
    <t>TÊN CÔNG VIỆC (TASK NAME)</t>
  </si>
  <si>
    <t>LOẠI</t>
  </si>
  <si>
    <t>ƯU TIÊN</t>
  </si>
  <si>
    <t>YÊU CẦU CỤ THỂ (ACCEPTANCE CRITERIA)</t>
  </si>
  <si>
    <t>HƯỚNG LÀM KỸ THUẬT (IMPLEMENTATION GUIDELINE)</t>
  </si>
  <si>
    <t>TIẾN ĐỘ (CHECKBOX)</t>
  </si>
  <si>
    <t>TRẠNG THÁI</t>
  </si>
  <si>
    <t>TASK-01</t>
  </si>
  <si>
    <t>Giai đoạn 1: Nền tảng Hạ tầng &amp; Core Engine</t>
  </si>
  <si>
    <t>Web &amp; Filter Chain</t>
  </si>
  <si>
    <t>Cấu hình toàn diện web.xml và đăng ký Filter Chain</t>
  </si>
  <si>
    <t>Backend</t>
  </si>
  <si>
    <t>P0</t>
  </si>
  <si>
    <t>Khai báo và ánh xạ thứ tự cố định 9 Filters trong web.xml cho /* hoặc /api/v1/*; tắt cơ chế tự tạo session của Tomcat.</t>
  </si>
  <si>
    <t>Cấu hình &lt;filter&gt; và &lt;filter-mapping&gt; theo thứ tự: RequestId -&gt; GlobalException -&gt; CharacterEncoding -&gt; Cors -&gt; SecurityHeaders -&gt; RateLimit -&gt; Authentication -&gt; CsrfGuard -&gt; Authorization. Thiết lập session tracking COOKIE và không dùng HttpSession.</t>
  </si>
  <si>
    <t>✓ ĐÃ XONG</t>
  </si>
  <si>
    <t>TASK-02</t>
  </si>
  <si>
    <t>Hoàn thiện RequestIdFilter và Logging MDC</t>
  </si>
  <si>
    <t>Mọi request đi vào hệ thống phải có X-Request-Id duy nhất để truy vết toàn trình qua log.</t>
  </si>
  <si>
    <t>Đọc header X-Request-Id hoặc sinh UUID mới. Gán vào org.slf4j.MDC('requestId') và ghi header trả về client. Đảm bảo xóa MDC trong khối finally.</t>
  </si>
  <si>
    <t>TASK-03</t>
  </si>
  <si>
    <t>Hoàn thiện CharacterEncodingFilter và SecurityHeadersFilter</t>
  </si>
  <si>
    <t>Ép kiểu ký tự tiếng Việt chuẩn UTF-8 và thiết lập các HTTP Security Headers tiêu chuẩn OWASP.</t>
  </si>
  <si>
    <t>Ép UTF-8 cho request/response. SecurityHeadersFilter thêm: X-Content-Type-Options: nosniff, X-Frame-Options: DENY, HSTS (max-age 1 năm), CSP cơ bản.</t>
  </si>
  <si>
    <t>TASK-04</t>
  </si>
  <si>
    <t>Hoàn thiện CorsFilter cho môi trường Dev và Production</t>
  </si>
  <si>
    <t>Xử lý preflight request OPTIONS và bảo vệ tài nguyên khi gọi chéo origin từ frontend Vite.</t>
  </si>
  <si>
    <t>Đọc allowed origins từ env. Trả Access-Control-Allow-Origin, Methods, Headers, Allow-Credentials: true. Nếu request là OPTIONS, trả 200 OK ngay lập tức.</t>
  </si>
  <si>
    <t>TASK-05</t>
  </si>
  <si>
    <t>Hoàn thiện GlobalExceptionFilter và chuẩn hóa phản hồi lỗi</t>
  </si>
  <si>
    <t>Không để lộ stack trace ra client; chuyển toàn bộ exception thành format JSON ApiError chuẩn.</t>
  </si>
  <si>
    <t>Bọc doFilter trong try-catch. Bắt AppException ánh xạ ErrorCode sang HTTP status tương ứng (400, 401, 403, 404, 409). Bắt Throwable log lỗi kèm requestId và trả 500 INTERNAL_SERVER_ERROR.</t>
  </si>
  <si>
    <t>TASK-06</t>
  </si>
  <si>
    <t>Web Base</t>
  </si>
  <si>
    <t>Triển khai BaseApiServlet và Response Utilities</t>
  </si>
  <si>
    <t>Chuẩn hóa lớp cơ sở cho toàn bộ Servlet để đọc request body JSON và trả response chuẩn ApiError/ApiResponse.</t>
  </si>
  <si>
    <t>Viết generic method readBody(req, Class&lt;T&gt;), ok(resp, data), created(resp, data), badRequest(resp, code, msg). Cung cấp helper lấy service instance từ ServletContext an toàn.</t>
  </si>
  <si>
    <t>TASK-07</t>
  </si>
  <si>
    <t>Hoàn thiện RateLimitFilter (Token Bucket Algorithm)</t>
  </si>
  <si>
    <t>P1</t>
  </si>
  <si>
    <t>Chống brute-force và spam request vào các endpoint nhạy cảm (auth, checkout).</t>
  </si>
  <si>
    <t>Xây dựng Token Bucket in-memory dựa trên ConcurrentHashMap theo IP. Giới hạn 10 req/s cho auth. Trả mã 429 Too Many Requests kèm header Retry-After khi vượt ngưỡng.</t>
  </si>
  <si>
    <t>TASK-08</t>
  </si>
  <si>
    <t>Security &amp; Auth</t>
  </si>
  <si>
    <t>Xây dựng JwtProvider và Quản lý Secret Key</t>
  </si>
  <si>
    <t>Sinh và kiểm tra tính hợp lệ của JWT access token bằng thư viện JJWT.</t>
  </si>
  <si>
    <t>Tạo JwtProvider đọc JWT_SECRET (&gt;= 256-bit) từ env. Cung cấp generateAccessToken(user, roles) hạn 15-30 phút, validateToken(token), và getClaims(token).</t>
  </si>
  <si>
    <t>TASK-09</t>
  </si>
  <si>
    <t>Hoàn thiện AuthenticationFilter và AuthorizationFilter</t>
  </si>
  <si>
    <t>Xác thực Bearer token và kiểm tra phân quyền RBAC (Role-Based Access Control).</t>
  </si>
  <si>
    <t>AuthenticationFilter: Đọc Bearer token, validate qua JwtProvider, inject AuthenticatedUser vào request attribute. AuthorizationFilter: So khớp route (/admin/*, /seller/*) với roles của user, chặn 403 nếu không đủ quyền.</t>
  </si>
  <si>
    <t>TASK-10</t>
  </si>
  <si>
    <t>Database &amp; Migration</t>
  </si>
  <si>
    <t>Tích hợp Flyway Migration vào AppBootstrapListener</t>
  </si>
  <si>
    <t>Database</t>
  </si>
  <si>
    <t>Tự động migrate schema MySQL khi Tomcat khởi động trước khi tạo JPA EntityManagerFactory.</t>
  </si>
  <si>
    <t>Trong AppBootstrapListener.contextInitialized(), nạp cấu hình DB từ env, gọi Flyway.configure().dataSource(...).load().migrate(). Bắt exception và log rõ nếu migrate lỗi.</t>
  </si>
  <si>
    <t>TASK-11</t>
  </si>
  <si>
    <t>Bootstrap &amp; DI</t>
  </si>
  <si>
    <t>Mở rộng CompositionRoot cho toàn bộ 11 Modules</t>
  </si>
  <si>
    <t>Khởi tạo và tiêm phụ thuộc thủ công qua constructor cho tất cả DAO và Service của dự án.</t>
  </si>
  <si>
    <t>Trong CompositionRoot.java: Khởi tạo tất cả DAO (truyền EMF), khởi tạo các ServiceImpl (truyền DAO tương ứng), gán vào ServletContext với key chuẩn để Servlet truy xuất.</t>
  </si>
  <si>
    <t>TASK-12</t>
  </si>
  <si>
    <t>Event Infrastructure</t>
  </si>
  <si>
    <t>Xây dựng EventBus nội bộ cho Domain Events</t>
  </si>
  <si>
    <t>Giao tiếp bất đồng bộ giữa các module nội bộ mà không làm nghẽn luồng xử lý chính.</t>
  </si>
  <si>
    <t>Tạo SimpleEventBus sử dụng ThreadPoolExecutor có tên luồng và giới hạn worker. Đăng ký listener và phát event (OrderPlaced, PaymentCompleted). Shutdown thread pool an toàn trong contextDestroyed.</t>
  </si>
  <si>
    <t>TASK-13</t>
  </si>
  <si>
    <t>Frontend Core</t>
  </si>
  <si>
    <t>Cấu hình Frontend Axios Client và Token Interceptor</t>
  </si>
  <si>
    <t>Frontend</t>
  </si>
  <si>
    <t>Tự động đính kèm Token và xử lý Refresh Token xoay vòng tự động khi gặp lỗi 401.</t>
  </si>
  <si>
    <t>Tạo shared/api/httpClient.ts. Interceptor request gắn Bearer token từ memory store. Interceptor response bắt lỗi 401 tự động gọi /api/v1/auth/refresh-token (cookie HttpOnly), cập nhật store và retry request cũ.</t>
  </si>
  <si>
    <t>TASK-14</t>
  </si>
  <si>
    <t>Xây dựng Hệ thống State Management (authStore, cartStore)</t>
  </si>
  <si>
    <t>Quản lý trạng thái người dùng và giỏ hàng không dùng localStorage lưu access token.</t>
  </si>
  <si>
    <t>Tạo app/store/useAuthStore.ts lưu accessToken trong bộ nhớ, user profile, role. Tạo app/store/useCartStore.ts lưu giỏ hàng local và tính toán tổng tiền tạm tính.</t>
  </si>
  <si>
    <t>TASK-15</t>
  </si>
  <si>
    <t>Xây dựng Bộ Thư viện Component Atoms &amp; Feedback</t>
  </si>
  <si>
    <t>Bộ thành phần giao diện nền tảng chuẩn mực theo design token, có đủ states tương tác.</t>
  </si>
  <si>
    <t>Viết Button (variants: primary, outline, danger; states: default, hover, disabled, loading), Input, Badge, Checkbox, Toast, Modal, SkeletonLoader, EmptyState.</t>
  </si>
  <si>
    <t>TASK-16</t>
  </si>
  <si>
    <t>Giai đoạn 2: Nghiệp vụ Lõi - Phase 1: Identity, Store &amp; Catalog</t>
  </si>
  <si>
    <t>Identity &amp; IAM</t>
  </si>
  <si>
    <t>Viết các DTO cho Module Identity</t>
  </si>
  <si>
    <t>Tách biệt hoàn toàn request/response DTO với Entity DB cho module Identity.</t>
  </si>
  <si>
    <t>Tạo RegisterRequest, LoginRequest, CreateAddressRequest, UpdateProfileRequest, AuthResponse, UserProfileResponse, AddressResponse trong modules/identity/model/dto/.</t>
  </si>
  <si>
    <t>☐ CHƯA XONG</t>
  </si>
  <si>
    <t>TASK-17</t>
  </si>
  <si>
    <t>Hoàn thiện AuthServiceImpl (Đăng ký &amp; Đăng nhập)</t>
  </si>
  <si>
    <t>Logic xác thực tài khoản an toàn với BCrypt và JWT.</t>
  </si>
  <si>
    <t>Trong AuthServiceImpl: register() mã hóa mật khẩu bằng BCrypt, tạo UserEntity và CustomerEntity. login() kiểm tra email, verify BCrypt, check bảng account_bans, sinh JWT và tạo session.</t>
  </si>
  <si>
    <t>TASK-18</t>
  </si>
  <si>
    <t>Hoàn thiện logic Refresh Token xoay vòng (Token Rotation)</t>
  </si>
  <si>
    <t>Thu hồi token và phát hiện tấn công phát lại (Replay Attack).</t>
  </si>
  <si>
    <t>Tìm session trong user_sessions. Nếu token đã thu hồi/đã dùng, xóa sạch mọi session của user đó. Nếu hợp lệ, revoke token cũ, sinh cặp token mới và cập nhật DB.</t>
  </si>
  <si>
    <t>TASK-19</t>
  </si>
  <si>
    <t>Hoàn thiện CustomerServiceImpl và Sổ địa chỉ</t>
  </si>
  <si>
    <t>CRUD sổ địa chỉ giao hàng của người mua.</t>
  </si>
  <si>
    <t>Trong CustomerServiceImpl: Thêm địa chỉ mới, sửa, xóa. Khi một địa chỉ có is_default=true, tự động cập nhật các địa chỉ còn lại của user về false.</t>
  </si>
  <si>
    <t>TASK-20</t>
  </si>
  <si>
    <t>Hoàn thiện AuthServlet và CustomerServlet</t>
  </si>
  <si>
    <t>Tiếp nhận HTTP request, validate cơ bản và ủy quyền cho Service.</t>
  </si>
  <si>
    <t>Kế thừa BaseApiServlet, xử lý /login, /register, /refresh, /logout, /addresses. Ghi cookie HttpOnly cho refresh token; trả access token trong body JSON.</t>
  </si>
  <si>
    <t>TASK-21</t>
  </si>
  <si>
    <t>Frontend Auth</t>
  </si>
  <si>
    <t>Xây dựng màn hình Đăng ký / Đăng nhập phía Frontend</t>
  </si>
  <si>
    <t>Form xác thực có validate trực quan, xử lý trạng thái loading và thông báo lỗi.</t>
  </si>
  <si>
    <t>Trong features/auth/: Viết schema Zod loginSchema, registerSchema. Dùng React Hook Form. Lưu token vào authStore và điều hướng về trang trước đó hoặc trang chủ.</t>
  </si>
  <si>
    <t>TASK-22</t>
  </si>
  <si>
    <t>Frontend Account</t>
  </si>
  <si>
    <t>Xây dựng màn hình Quản lý Hồ sơ &amp; Sổ địa chỉ</t>
  </si>
  <si>
    <t>Người mua xem/sửa thông tin cá nhân và thiết lập địa chỉ nhận hàng mặc định.</t>
  </si>
  <si>
    <t>Trong pages/buyer/account/: Viết AddressCard, Modal thêm/sửa địa chỉ, tích hợp danh sách Tỉnh/Thành, Quận/Huyện, Phường/Xã.</t>
  </si>
  <si>
    <t>TASK-23</t>
  </si>
  <si>
    <t>Shop &amp; Store</t>
  </si>
  <si>
    <t>Hoàn thiện SellerApplicationServiceImpl</t>
  </si>
  <si>
    <t>Quy trình người mua nộp đơn trở thành người bán (Seller).</t>
  </si>
  <si>
    <t>Kiểm tra user chưa có shop hoạt động. Tạo SellerApplicationEntity với trạng thái PENDING. Lưu thông tin CCCD/Mã số thuế và giấy phép.</t>
  </si>
  <si>
    <t>TASK-24</t>
  </si>
  <si>
    <t>Hoàn thiện StoreServiceImpl và StoreDAO</t>
  </si>
  <si>
    <t>Quản lý thông tin gian hàng (tên, mô tả, logo, địa chỉ lấy hàng).</t>
  </si>
  <si>
    <t>Cập nhật thông tin shop, kiểm tra tính duy nhất của store_slug, cập nhật địa chỉ kho lấy hàng và thông tin liên hệ.</t>
  </si>
  <si>
    <t>TASK-25</t>
  </si>
  <si>
    <t>Media Service</t>
  </si>
  <si>
    <t>Hoàn thiện MediaUploadServlet và Storage Service</t>
  </si>
  <si>
    <t>Tiếp nhận upload file ảnh an toàn, kiểm tra dung lượng và định dạng MIME.</t>
  </si>
  <si>
    <t>Dùng @MultipartConfig(maxFileSize = 5MB). Kiểm tra MIME type chỉ cho phép JPEG, PNG, WEBP. Đổi tên UUID ngẫu nhiên. Lưu vào local storage hoặc S3 adapter, lưu metadata vào media_assets.</t>
  </si>
  <si>
    <t>TASK-26</t>
  </si>
  <si>
    <t>Frontend Components</t>
  </si>
  <si>
    <t>Xây dựng Component ImageUploader phía Frontend</t>
  </si>
  <si>
    <t>Kéo thả hình ảnh, hiển thị preview và thanh tiến độ upload.</t>
  </si>
  <si>
    <t>Tạo components/molecules/ImageUploader.tsx: preview ảnh bằng URL.createObjectURL, validate kích thước file trước khi upload, hiển thị progress bar và nút gỡ ảnh.</t>
  </si>
  <si>
    <t>TASK-27</t>
  </si>
  <si>
    <t>Catalog</t>
  </si>
  <si>
    <t>Xây dựng DTO và Service cho Cây Danh mục Sản phẩm</t>
  </si>
  <si>
    <t>Quản lý danh mục đa cấp (Category Hierarchy) và trả cây phân cấp dạng JSON.</t>
  </si>
  <si>
    <t>Trong CategoryServiceImpl: Query danh mục nhóm parent_id đệ quy thành CategoryTreeResponse. Caching kết quả cây danh mục để tối ưu tốc độ.</t>
  </si>
  <si>
    <t>TASK-28</t>
  </si>
  <si>
    <t>Hoàn thiện Quản lý Sản phẩm (SPU) và Biến thể (SKU) Backend</t>
  </si>
  <si>
    <t>Tạo sản phẩm kèm nhiều biến thể phân loại (màu, size, giá tiền từng biến thể).</t>
  </si>
  <si>
    <t>Lưu SPU vào products, lưu danh sách SKU vào product_variants. Toàn bộ tiền tệ dùng kiểu long (minor unit). Trạng thái khởi tạo là PENDING_APPROVAL.</t>
  </si>
  <si>
    <t>TASK-29</t>
  </si>
  <si>
    <t>Hoàn thiện API Tìm kiếm và Lọc sản phẩm nâng cao</t>
  </si>
  <si>
    <t>Tìm kiếm full-text theo tên, lọc theo danh mục, khoảng giá, và phân trang bắt buộc.</t>
  </si>
  <si>
    <t>Xây dựng JPQL/Criteria động trong ProductDAO. Phân trang bắt buộc page, size &lt;= 100. Hỗ trợ sắp xếp newest, price_asc, price_desc, rating.</t>
  </si>
  <si>
    <t>TASK-30</t>
  </si>
  <si>
    <t>Hoàn thiện ProductServlet và CategoryServlet</t>
  </si>
  <si>
    <t>Cung cấp các endpoint RESTful /api/v1/products/* và /api/v1/categories/*.</t>
  </si>
  <si>
    <t>Xử lý GET /products (danh sách có filter), GET /products/{id_or_slug} (chi tiết), POST /products (seller tạo sản phẩm). Kế thừa BaseApiServlet.</t>
  </si>
  <si>
    <t>TASK-31</t>
  </si>
  <si>
    <t>Frontend Layout</t>
  </si>
  <si>
    <t>Xây dựng Layout Storefront &amp; Navigation Header Frontend</t>
  </si>
  <si>
    <t>Header chuẩn marketplace: Logo, ô tìm kiếm từ khóa, menu danh mục, nút giỏ hàng badge, menu user.</t>
  </si>
  <si>
    <t>Trong layouts/StorefrontLayout.tsx: Responsive navigation, mobile burger drawer, desktop category mega-menu, hiển thị số lượng badge giỏ hàng từ cartStore.</t>
  </si>
  <si>
    <t>TASK-32</t>
  </si>
  <si>
    <t>Frontend Storefront</t>
  </si>
  <si>
    <t>Xây dựng Trang chủ (Storefront Homepage)</t>
  </si>
  <si>
    <t>Giao diện thu hút khách hàng với banner, danh mục và flash sale.</t>
  </si>
  <si>
    <t>Trong pages/public/Home.tsx: Hero banner slider, lưới danh mục nổi bật, tab sản phẩm mới nhất, banner Flash Sale có đồng hồ đếm ngược countdown.</t>
  </si>
  <si>
    <t>TASK-33</t>
  </si>
  <si>
    <t>Xây dựng Component ProductCard</t>
  </si>
  <si>
    <t>Thẻ sản phẩm hiển thị ảnh, tên, giá formatMoney, rating sao và badge giảm giá.</t>
  </si>
  <si>
    <t>Tạo components/molecules/ProductCard.tsx: Hiệu ứng hover nổi bật, xử lý lazy-loading hình ảnh, fallback khi ảnh lỗi, liên kết đến trang chi tiết sản phẩm.</t>
  </si>
  <si>
    <t>TASK-34</t>
  </si>
  <si>
    <t>Frontend Catalog</t>
  </si>
  <si>
    <t>Xây dựng Trang Danh sách sản phẩm &amp; Bộ lọc (PLP)</t>
  </si>
  <si>
    <t>Lưới sản phẩm có bộ lọc đa tiêu chí bên trái (sidebar) và phân trang.</t>
  </si>
  <si>
    <t>Trong pages/public/ProductListing.tsx: Sidebar lọc theo cây danh mục, thanh trượt khoảng giá, chọn số sao; thanh sort; hiển thị Skeleton khi load và EmptyState khi không có hàng.</t>
  </si>
  <si>
    <t>TASK-35</t>
  </si>
  <si>
    <t>Xây dựng Trang Chi tiết sản phẩm (PDP)</t>
  </si>
  <si>
    <t>Gallery ảnh, chọn biến thể SKU động, cập nhật giá theo biến thể và số lượng mua.</t>
  </si>
  <si>
    <t>Trong pages/public/ProductDetail.tsx: Slider ảnh thumbnail, selector biến thể (disable nếu hết hàng), bộ chọn số lượng, nút 'Thêm vào giỏ' và 'Mua ngay'.</t>
  </si>
  <si>
    <t>TASK-36</t>
  </si>
  <si>
    <t>Giai đoạn 3: Nghiệp vụ Giao dịch - Phase 2: Inventory, Cart, Promo, Order &amp; Payment</t>
  </si>
  <si>
    <t>Inventory</t>
  </si>
  <si>
    <t>Hoàn thiện InventoryDAO với Khóa chống Bán vượt tồn</t>
  </si>
  <si>
    <t>Đảm bảo an toàn tuyệt đối khi nhiều luồng cùng giảm tồn kho của một SKU.</t>
  </si>
  <si>
    <t>Trong InventoryDAO: Viết câu lệnh UPDATE nguyên tử có điều kiện: UPDATE inventories SET stock = stock - :qty, reserved = reserved + :qty WHERE sku_id = :skuId AND stock &gt;= :qty. Nếu kết quả = 0, ném InsufficientStockException.</t>
  </si>
  <si>
    <t>TASK-37</t>
  </si>
  <si>
    <t>Hoàn thiện InventoryServiceImpl (Cơ chế Stock Reservation có TTL)</t>
  </si>
  <si>
    <t>Quản lý giữ kho khi đặt hàng và nhả kho khi hủy hoặc quá hạn thanh toán.</t>
  </si>
  <si>
    <t>reserveStock(skuId, qty, orderId, ttlMinutes): gọi InventoryDAO và lưu bảng stock_reservations với expires_at. releaseReservation(): hoàn trả stock. commitReservation(): trừ reserved sang đã bán.</t>
  </si>
  <si>
    <t>TASK-38</t>
  </si>
  <si>
    <t>Cart</t>
  </si>
  <si>
    <t>Xây dựng CartDAO và Entity Giỏ hàng</t>
  </si>
  <si>
    <t>Lưu trữ các mặt hàng trong giỏ của người dùng đã đăng nhập vào MySQL.</t>
  </si>
  <si>
    <t>Tạo CartDAO thao tác bảng carts và cart_items. Viết các hàm: lấy giỏ theo customer_id, thêm SKU, cập nhật số lượng, xóa SKU, dọn sạch giỏ sau khi đặt hàng thành công.</t>
  </si>
  <si>
    <t>TASK-39</t>
  </si>
  <si>
    <t>Hoàn thiện CartServiceImpl (Kiểm tra biến động giá &amp; tồn kho)</t>
  </si>
  <si>
    <t>Khi mở giỏ hàng, kiểm tra lại giá mới nhất và tình trạng tồn kho thực tế.</t>
  </si>
  <si>
    <t>Đọc cart_items, so khớp giá hiện tại của SKU từ catalog và tồn kho khả dụng từ inventory. Nếu giá thay đổi hoặc hết hàng, gắn flag is_available=false hoặc price_changed=true trong DTO trả về.</t>
  </si>
  <si>
    <t>TASK-40</t>
  </si>
  <si>
    <t>Hoàn thiện CartServlet</t>
  </si>
  <si>
    <t>Cung cấp các endpoint RESTful /api/v1/cart/*.</t>
  </si>
  <si>
    <t>GET /api/v1/cart (xem giỏ), POST /api/v1/cart (thêm hàng), PUT /api/v1/cart/items/{id} (sửa số lượng), DELETE /api/v1/cart/items/{id} (xóa). Kế thừa BaseApiServlet.</t>
  </si>
  <si>
    <t>TASK-41</t>
  </si>
  <si>
    <t>Frontend Cart</t>
  </si>
  <si>
    <t>Xây dựng Giao diện Giỏ hàng (Cart Page &amp; Drawer)</t>
  </si>
  <si>
    <t>Giỏ hàng gom nhóm trực quan theo từng Shop/Nhà bán, chọn món linh hoạt.</t>
  </si>
  <si>
    <t>Trong features/cart/: Nhóm items theo store_id. Cho phép tick chọn từng món hoặc chọn cả shop. Tự động tính tổng tiền theo thời gian thực. Nút tăng giảm số lượng có debounce.</t>
  </si>
  <si>
    <t>TASK-42</t>
  </si>
  <si>
    <t>Promotion</t>
  </si>
  <si>
    <t>Hoàn thiện VoucherDAO và VoucherServiceImpl</t>
  </si>
  <si>
    <t>Động cơ kiểm tra điều kiện và tính toán số tiền giảm giá của Voucher.</t>
  </si>
  <si>
    <t>Kiểm tra hạn sử dụng (start_at &lt;= now &lt;= end_at), đơn hàng tối thiểu, lượt dùng còn lại. Tính mức giảm theo % (có trần max discount) hoặc số tiền cố định (tất cả dùng kiểu long minor units).</t>
  </si>
  <si>
    <t>TASK-43</t>
  </si>
  <si>
    <t>Hoàn thiện VoucherServlet và Dialog Chọn Voucher trên FE</t>
  </si>
  <si>
    <t>Fullstack</t>
  </si>
  <si>
    <t>Cung cấp API và giao diện popup chọn mã khuyến mãi khi chuẩn bị thanh toán.</t>
  </si>
  <si>
    <t>Backend: GET /vouchers/available, POST /vouchers/validate. Frontend: Modal danh sách voucher khả dụng kèm điều kiện, nút 'Áp dụng' trừ tiền ngay trên màn hình checkout.</t>
  </si>
  <si>
    <t>TASK-44</t>
  </si>
  <si>
    <t>Order Engine</t>
  </si>
  <si>
    <t>Thuật toán Multi-Shop Checkout Partition Backend</t>
  </si>
  <si>
    <t>Tách giỏ hàng nhiều shop thành các đơn hàng độc lập theo shop gom bằng order_group_id.</t>
  </si>
  <si>
    <t>Nhóm SKU theo store_id. Sinh mã order_group_id chung. Với mỗi shop sinh một order_code ngẫu nhiên không đoán được (ORD-YYYYMMDD-XXXX). Phân bổ voucher tương ứng cho từng đơn.</t>
  </si>
  <si>
    <t>TASK-45</t>
  </si>
  <si>
    <t>Quản lý Giao dịch Đặt hàng Toàn vẹn (Atomic Checkout Transaction)</t>
  </si>
  <si>
    <t>Khởi tạo đơn, giữ kho (reservation) và dọn giỏ hàng trong cùng một ranh giới giao dịch an toàn.</t>
  </si>
  <si>
    <t>Bọc trong TransactionManager: (1) Reserve kho cho từng SKU, (2) Insert các OrderEntity và OrderItemEntity, (3) Xóa các SKU tương ứng khỏi giỏ. Rollback toàn bộ nếu bất kỳ bước nào thất bại.</t>
  </si>
  <si>
    <t>TASK-46</t>
  </si>
  <si>
    <t>Hoàn thiện CheckoutServlet và OrderServlet</t>
  </si>
  <si>
    <t>Tiếp nhận request checkout và truy vấn lịch sử đơn hàng.</t>
  </si>
  <si>
    <t>POST /checkout: nhận địa chỉ, voucher, payment method -&gt; trả về danh sách đơn và thông tin thanh toán. GET /orders: lấy danh sách đơn của buyer (có phân trang và lọc status). GET /orders/{order_code}: chi tiết đơn.</t>
  </si>
  <si>
    <t>TASK-47</t>
  </si>
  <si>
    <t>Frontend Checkout</t>
  </si>
  <si>
    <t>Xây dựng Màn hình Checkout nhiều bước Frontend</t>
  </si>
  <si>
    <t>Giao diện đặt hàng đầy đủ: địa chỉ nhận, danh sách theo shop, phương thức giao vận và thanh toán.</t>
  </si>
  <si>
    <t>Trong pages/buyer/Checkout.tsx: Hiển thị tiền hàng, phí ship từng shop, tiền giảm voucher, tổng thanh toán. Nút 'Đặt hàng' chống double-click (loading disable).</t>
  </si>
  <si>
    <t>TASK-48</t>
  </si>
  <si>
    <t>Frontend Orders</t>
  </si>
  <si>
    <t>Xây dựng Màn hình Quản lý Đơn hàng Người mua</t>
  </si>
  <si>
    <t>Khách hàng theo dõi tiến độ các đơn hàng của mình.</t>
  </si>
  <si>
    <t>Trong pages/buyer/account/Orders.tsx: Tab trạng thái (Chờ thanh toán, Đang xử lý, Đang giao, Đã giao, Đã hủy). Chi tiết đơn, timeline giao vận, nút Hủy đơn nếu còn ở PENDING.</t>
  </si>
  <si>
    <t>TASK-49</t>
  </si>
  <si>
    <t>Hoàn thiện Logic Hủy Đơn hàng (OrderCancellationDAO)</t>
  </si>
  <si>
    <t>Hủy đơn hàng an toàn, tự động giải phóng tồn kho đã giữ.</t>
  </si>
  <si>
    <t>Kiểm tra đơn ở trạng thái PENDING hoặc CONFIRMED. Đổi trạng thái sang CANCELLED, gọi InventoryService.releaseReservation(), ghi nhận lý do hủy đơn vào order_cancellations.</t>
  </si>
  <si>
    <t>TASK-50</t>
  </si>
  <si>
    <t>Payment</t>
  </si>
  <si>
    <t>Triển khai Phương thức Thanh toán COD</t>
  </si>
  <si>
    <t>Đánh dấu phương thức thanh toán trả tiền mặt khi nhận hàng.</t>
  </si>
  <si>
    <t>Tạo bản ghi payments với trạng thái PaymentStatus.UNPAID, method COD. Đơn hàng chuyển sang CONFIRMED chờ shop đóng gói xuất kho.</t>
  </si>
  <si>
    <t>TASK-51</t>
  </si>
  <si>
    <t>Tích hợp Cổng thanh toán trực tuyến (VNPay / Sandbox Gateway)</t>
  </si>
  <si>
    <t>Tạo URL thanh toán có chữ ký số băm HMAC-SHA512 để redirect người mua.</t>
  </si>
  <si>
    <t>Tạo VNPayGatewayAdapter: Đọc merchant ID và hash secret. Sinh chuỗi tham số ký SHA-512 theo tài liệu cổng thanh toán, trả URL redirect cho frontend.</t>
  </si>
  <si>
    <t>TASK-52</t>
  </si>
  <si>
    <t>Xử lý Webhook / IPN Thanh toán an toàn (Idempotency)</t>
  </si>
  <si>
    <t>Tiếp nhận callback cổng thanh toán, verify chữ ký số và cập nhật đơn hàng không trùng lặp.</t>
  </si>
  <si>
    <t>Trong PaymentServlet: Verify checksum HMAC. Nếu trạng thái giao dịch đã là PAID thì bỏ qua (Idempotent). Cập nhật PaymentStatus.PAID, chuyển đơn hàng sang CONFIRMED, commit tồn kho.</t>
  </si>
  <si>
    <t>TASK-53</t>
  </si>
  <si>
    <t>Frontend Payment</t>
  </si>
  <si>
    <t>Xây dựng Màn hình Kết quả Thanh toán Frontend</t>
  </si>
  <si>
    <t>Hiển thị trạng thái giao dịch sau khi redirect từ cổng thanh toán về.</t>
  </si>
  <si>
    <t>Trong pages/public/PaymentResult.tsx: Bóc tách params từ URL callback, hiển thị icon thành công hoặc thất bại, mã giao dịch, số tiền và nút xem đơn hàng hoặc tiếp tục mua sắm.</t>
  </si>
  <si>
    <t>TASK-54</t>
  </si>
  <si>
    <t>Xây dựng State Machine chuyển đổi trạng thái Đơn hàng</t>
  </si>
  <si>
    <t>Đảm bảo trạng thái đơn chỉ được chuyển theo đúng sơ đồ nghiệp vụ, không nhảy cóc.</t>
  </si>
  <si>
    <t>Cài đặt State Machine: PENDING -&gt; CONFIRMED -&gt; SHIPPING -&gt; DELIVERED (nhánh: CANCELLED, RETURNED). Viết validation chặt chẽ trước khi update trạng thái.</t>
  </si>
  <si>
    <t>TASK-55</t>
  </si>
  <si>
    <t>Background Worker</t>
  </si>
  <si>
    <t>Xây dựng Worker Giải phóng Kho Quá Hạn (Expired Reservation Worker)</t>
  </si>
  <si>
    <t>Tự động giải phóng tồn kho nếu đơn hàng không được thanh toán trong vòng 15 phút.</t>
  </si>
  <si>
    <t>Tạo ExpiredOrderCleanupJob chạy định kỳ 2 phút/lần bằng ScheduledExecutorService. Quét các đơn PENDING quá TTL, tự động hủy và gọi InventoryService.releaseReservation().</t>
  </si>
  <si>
    <t>TASK-56</t>
  </si>
  <si>
    <t>Giai đoạn 4: Hậu mãi, Seller Portal &amp; Backoffice</t>
  </si>
  <si>
    <t>Reviews</t>
  </si>
  <si>
    <t>Hoàn thiện ReviewDAO và ReviewServiceImpl</t>
  </si>
  <si>
    <t>Khách hàng đánh giá chất lượng sản phẩm sau khi đã nhận hàng thành công.</t>
  </si>
  <si>
    <t>Trong ReviewServiceImpl: Ràng buộc chỉ user đã mua và đơn ở trạng thái DELIVERED mới được đánh giá. Lưu rating (1-5 sao), nhận xét, danh sách URL ảnh đính kèm.</t>
  </si>
  <si>
    <t>TASK-57</t>
  </si>
  <si>
    <t>Tự động tính toán lại Điểm Đánh giá Sản phẩm</t>
  </si>
  <si>
    <t>Cập nhật điểm rating trung bình (avg_rating) và số lượt review của sản phẩm.</t>
  </si>
  <si>
    <t>Trong ReviewDAO: Tính AVG(rating) và COUNT(id) cho product_id. Cập nhật ngược lại vào bảng products để hiển thị nhanh trên danh sách.</t>
  </si>
  <si>
    <t>TASK-58</t>
  </si>
  <si>
    <t>Hoàn thiện ReviewServlet và Component Đánh giá phía Frontend</t>
  </si>
  <si>
    <t>Màn hình xem review tại trang sản phẩm và popup viết review tại trang đơn hàng.</t>
  </si>
  <si>
    <t>Backend: GET /products/{id}/reviews, POST /reviews. Frontend: Component StarRating.tsx hiển thị số sao vàng, modal viết review kèm upload ảnh thực tế.</t>
  </si>
  <si>
    <t>TASK-59</t>
  </si>
  <si>
    <t>Seller Portal</t>
  </si>
  <si>
    <t>Xây dựng Layout Seller Center Frontend</t>
  </si>
  <si>
    <t>Không gian quản trị riêng biệt cho Nhà bán hàng với menu bên trái (Sidebar).</t>
  </si>
  <si>
    <t>Trong layouts/SellerLayout.tsx: Sidebar gồm: Dashboard tổng quan, Sản phẩm của tôi, Quản lý đơn hàng, Cài đặt gian hàng. Bảo vệ bằng SellerGuard.</t>
  </si>
  <si>
    <t>TASK-60</t>
  </si>
  <si>
    <t>Seller Portal - API và Giao diện Thống kê Bán hàng</t>
  </si>
  <si>
    <t>Seller xem nhanh doanh thu, số đơn chờ xử lý, số sản phẩm sắp hết hàng.</t>
  </si>
  <si>
    <t>Backend: GET /api/v1/seller/dashboard-stats. Frontend: pages/seller/Dashboard.tsx hiển thị biểu đồ doanh thu theo ngày và các thẻ KPI tổng quan.</t>
  </si>
  <si>
    <t>TASK-61</t>
  </si>
  <si>
    <t>Seller Portal - Quản lý Sản phẩm Shop</t>
  </si>
  <si>
    <t>Seller đăng tải sản phẩm mới, cập nhật giá và tồn kho của biến thể SKU.</t>
  </si>
  <si>
    <t>Trong pages/seller/products/: Bảng danh sách sản phẩm có tìm kiếm/phân trang; Form tạo/sửa sản phẩm đa biến thể (tên biến thể, ảnh riêng, giá và tồn kho ban đầu).</t>
  </si>
  <si>
    <t>TASK-62</t>
  </si>
  <si>
    <t>Seller Portal - Quản lý &amp; Xử lý Đơn hàng Shop</t>
  </si>
  <si>
    <t>Seller tiếp nhận đơn, xác nhận (CONFIRMED), và bàn giao vận chuyển (SHIPPING).</t>
  </si>
  <si>
    <t>Trong pages/seller/orders/: Lọc đơn theo tab trạng thái; Xem chi tiết thông tin người nhận và món hàng; Nút hành động chuyển trạng thái đơn kèm mã vận đơn.</t>
  </si>
  <si>
    <t>TASK-63</t>
  </si>
  <si>
    <t>Backoffice Admin</t>
  </si>
  <si>
    <t>Xây dựng Layout Backoffice Admin Frontend</t>
  </si>
  <si>
    <t>Giao diện quản trị hệ thống toàn sàn, bảo vệ nghiêm ngặt bằng AdminGuard.</t>
  </si>
  <si>
    <t>Trong layouts/AdminLayout.tsx: Bố cục quản trị chuyên nghiệp, hiển thị avatar và vai trò Admin đăng nhập, danh mục menu các phân hệ vận hành sàn.</t>
  </si>
  <si>
    <t>TASK-64</t>
  </si>
  <si>
    <t>Backoffice - Module Duyệt Đơn Đăng ký Gian hàng</t>
  </si>
  <si>
    <t>Admin xem xét hồ sơ người bán và phê duyệt hoặc từ chối đơn.</t>
  </si>
  <si>
    <t>Backend: GET/PUT trong SellerApplicationServlet. Frontend: pages/admin/Sellers.tsx xem chi tiết giấy tờ, bấm Approve (tạo StoreEntity, gán role SELLER) hoặc Reject.</t>
  </si>
  <si>
    <t>TASK-65</t>
  </si>
  <si>
    <t>Backoffice - Module Kiểm duyệt Sản phẩm (Product Moderation)</t>
  </si>
  <si>
    <t>Admin kiểm tra nội dung và hình ảnh sản phẩm trước khi cho phép bán công khai.</t>
  </si>
  <si>
    <t>Backend: API duyệt sản phẩm trong AdminUserServlet. Frontend: pages/admin/Products.tsx danh sách sản phẩm PENDING_APPROVAL; Thao tác duyệt ACTIVE hoặc từ chối kèm lý do.</t>
  </si>
  <si>
    <t>TASK-66</t>
  </si>
  <si>
    <t>Backoffice - Module Quản lý Người dùng &amp; Khóa Tài khoản</t>
  </si>
  <si>
    <t>Quản lý danh sách thành viên, khóa/mở khóa tài khoản khi có hành vi gian lận.</t>
  </si>
  <si>
    <t>Sử dụng AccountBanDAO ghi nhận thời gian bắt đầu cấm, thời gian kết thúc, lý do cấm. Tự động thu hồi mọi active session của tài khoản đó ngay lập tức.</t>
  </si>
  <si>
    <t>TASK-67</t>
  </si>
  <si>
    <t>Xây dựng Cơ chế Ghi Nhật ký Quản trị (Admin Audit Logging)</t>
  </si>
  <si>
    <t>Mọi thao tác ghi dữ liệu nhạy cảm của Admin phải được lưu vết không thể chỉnh sửa.</t>
  </si>
  <si>
    <t>Tạo bảng audit_logs và AuditLogDAO. Tự động lưu vết mỗi khi Admin duyệt sản phẩm, khóa tài khoản, hoặc can thiệp đơn: admin_id, action, resource_type, ip, timestamp.</t>
  </si>
  <si>
    <t>TASK-68</t>
  </si>
  <si>
    <t>Worker Mô phỏng Quá trình Vận chuyển (Shipping Simulation Job)</t>
  </si>
  <si>
    <t>P2</t>
  </si>
  <si>
    <t>Tự động chuyển trạng thái giao hàng để kiểm thử flow trọn vẹn không cần đơn vị vận chuyển thật.</t>
  </si>
  <si>
    <t>Tạo ShippingSimulationJob bằng ScheduledExecutorService: Quét các đơn hàng ở trạng thái SHIPPING sau một khoảng thời gian giả lập tự động chuyển sang DELIVERED.</t>
  </si>
  <si>
    <t>TASK-69</t>
  </si>
  <si>
    <t>Shop &amp; Feedback</t>
  </si>
  <si>
    <t>Module Phản hồi &amp; Khiếu nại từ Nhà Bán (FeedbackToAdmin)</t>
  </si>
  <si>
    <t>Seller có thể gửi thắc mắc hoặc khiếu nại trực tiếp đến ban quản trị sàn.</t>
  </si>
  <si>
    <t>Dùng FeedbackDAO: Seller gửi nội dung và ảnh; Admin có bảng xem danh sách phản hồi và cập nhật trạng thái phản hồi đã xử lý.</t>
  </si>
  <si>
    <t>TASK-70</t>
  </si>
  <si>
    <t>Worker Cập nhật Trạng thái Voucher Hết hạn</t>
  </si>
  <si>
    <t>Đảm bảo các voucher đã qua ngày hiệu lực không còn xuất hiện cho người dùng chọn.</t>
  </si>
  <si>
    <t>Tạo VoucherExpiryJob chạy mỗi ngày một lần vào 00:01 UTC, cập nhật is_active = false cho các voucher có end_at &lt; NOW().</t>
  </si>
  <si>
    <t>TASK-71</t>
  </si>
  <si>
    <t>Giai đoạn 5: Kiểm thử, Bảo mật &amp; Tối ưu Hiệu năng</t>
  </si>
  <si>
    <t>QA &amp; Testing</t>
  </si>
  <si>
    <t>Thiết lập Framework Kiểm thử Unit Test (JUnit 5 &amp; Mockito)</t>
  </si>
  <si>
    <t>QA</t>
  </si>
  <si>
    <t>Nền tảng viết unit test cho tầng Service độc lập với database thật.</t>
  </si>
  <si>
    <t>Tạo các base test class trong backend-servlet/src/test/java/. Cấu hình Mockito mock các DAO và dependencies.</t>
  </si>
  <si>
    <t>TASK-72</t>
  </si>
  <si>
    <t>Viết Bộ Unit Test cho Module Identity &amp; Auth</t>
  </si>
  <si>
    <t>Bao phủ toàn bộ các kịch bản đăng ký, đăng nhập và refresh token.</t>
  </si>
  <si>
    <t>Tạo AuthServiceImplTest: Test đăng ký thành công, trùng email (ném DuplicateResourceException), sai mật khẩu, tài khoản bị ban, token hết hạn.</t>
  </si>
  <si>
    <t>TASK-73</t>
  </si>
  <si>
    <t>Viết Bộ Unit Test cho Module Inventory &amp; Cart</t>
  </si>
  <si>
    <t>Kiểm thử logic tính toán trừ kho và kiểm tra tính hợp lệ của giỏ hàng.</t>
  </si>
  <si>
    <t>Tạo InventoryServiceImplTest và CartServiceImplTest: Test giữ kho khi còn hàng, ném InsufficientStockException khi hết hàng, nhả kho đúng số lượng.</t>
  </si>
  <si>
    <t>TASK-74</t>
  </si>
  <si>
    <t>Viết Bộ Unit Test cho Module Order &amp; Voucher</t>
  </si>
  <si>
    <t>Kiểm thử thuật toán chia đơn multi-shop và tính toán tiền giảm giá voucher.</t>
  </si>
  <si>
    <t>Tạo OrderServiceImplTest và VoucherServiceImplTest: Test chia N đơn theo shop, tính đúng số tiền voucher theo % và số tiền cố định, không sai số làm tròn.</t>
  </si>
  <si>
    <t>TASK-75</t>
  </si>
  <si>
    <t>Thiết lập Bộ Integration Test với Testcontainers MySQL</t>
  </si>
  <si>
    <t>Kiểm thử thực tế các câu lệnh JPA, Flyway migration và transaction với MySQL container thật.</t>
  </si>
  <si>
    <t>Dùng org.testcontainers:mysql. Chạy Flyway nạp schema V001, thực thi các DAO để kiểm tra khóa ngoại, ràng buộc duy nhất và rollback giao dịch.</t>
  </si>
  <si>
    <t>TASK-76</t>
  </si>
  <si>
    <t>Viết Bộ Frontend Component &amp; Unit Tests (Vitest)</t>
  </si>
  <si>
    <t>Kiểm thử độ tin cậy của các hàm tiện ích và components cốt lõi trên FE.</t>
  </si>
  <si>
    <t>Viết test cho formatMoney.test.ts, httpClient.test.ts, form validation với Zod, kiểm thử render component ProductCard và Button.</t>
  </si>
  <si>
    <t>TASK-77</t>
  </si>
  <si>
    <t>Viết Kịch bản End-to-End (E2E) Test với Playwright</t>
  </si>
  <si>
    <t>Tự động hóa kiểm thử luồng nghiệp vụ quan trọng nhất của sàn từ góc nhìn khách hàng thật.</t>
  </si>
  <si>
    <t>Trong frontend-client/e2e/: Kịch bản Đăng ký -&gt; Tìm sản phẩm -&gt; Xem PDP -&gt; Chọn SKU -&gt; Thêm giỏ -&gt; Checkout -&gt; Đặt COD thành công -&gt; Kiểm tra hiển thị trong đơn hàng.</t>
  </si>
  <si>
    <t>TASK-78</t>
  </si>
  <si>
    <t>Security</t>
  </si>
  <si>
    <t>Rà soát An ninh &amp; Lỗ hổng Bảo mật (OWASP Audit)</t>
  </si>
  <si>
    <t>Kiểm tra toàn bộ mã nguồn chống lại các nguy cơ bảo mật phổ biến.</t>
  </si>
  <si>
    <t>Rà soát 100% câu truy vấn dùng Typed Parameter (chống SQLi); Kiểm tra IDOR: endpoint xem/sửa tài nguyên luôn có AND customer_id = :currentUserId; Escape HTML chống XSS.</t>
  </si>
  <si>
    <t>TASK-79</t>
  </si>
  <si>
    <t>Performance</t>
  </si>
  <si>
    <t>Kiểm thử Tải &amp; Stress Test Chống Oversell (k6 / JMeter)</t>
  </si>
  <si>
    <t>Giả lập 500 - 1.000 người dùng đồng thời tranh mua 20 sản phẩm tồn kho duy nhất.</t>
  </si>
  <si>
    <t>Viết script k6 bắn liên tục vào /api/v1/checkout. Nghiệm thu: Đúng chính xác 20 đơn thành công, các request còn lại nhận 409 Conflict, tồn kho không bao giờ bị âm.</t>
  </si>
  <si>
    <t>TASK-80</t>
  </si>
  <si>
    <t>Database &amp; Performance</t>
  </si>
  <si>
    <t>Tinh chỉnh Database Index &amp; HikariCP Connection Pool</t>
  </si>
  <si>
    <t>Tối ưu tốc độ phản hồi API (&lt; 200ms cho 95% request thông thường).</t>
  </si>
  <si>
    <t>Chạy EXPLAIN trên truy vấn catalog/order. Thêm index phù hợp vào file migration mới V003__optimize_indexes.sql. Tinh chỉnh pool HikariCP (maxPoolSize=15, minIdle=5, timeout=30s).</t>
  </si>
  <si>
    <t>TASK-81</t>
  </si>
  <si>
    <t>Giai đoạn 6: Containerization, CI/CD &amp; Go-Live</t>
  </si>
  <si>
    <t>DevOps</t>
  </si>
  <si>
    <t>Viết Dockerfile Multi-Stage cho Backend Servlet</t>
  </si>
  <si>
    <t>Đóng gói ứng dụng Java WAR nhẹ gọn, bảo mật, sẵn sàng chạy trên container Tomcat 10.1.</t>
  </si>
  <si>
    <t>Tạo backend-servlet/Dockerfile: Stage 1 build bằng maven:3.9-eclipse-temurin-17 tạo ROOT.war. Stage 2 chạy bằng tomcat:10.1-jdk17-temurin-jammy, copy ROOT.war vào webapps/ROOT.war.</t>
  </si>
  <si>
    <t>TASK-82</t>
  </si>
  <si>
    <t>Viết Dockerfile và Cấu hình Nginx cho Frontend</t>
  </si>
  <si>
    <t>Build ứng dụng React SPA và phục vụ qua Nginx với hiệu năng cao.</t>
  </si>
  <si>
    <t>Tạo frontend-client/Dockerfile: Stage 1 build npm run build ra dist/. Stage 2 copy vào nginx:1.25-alpine. Viết nginx.conf bật nén Gzip và try_files $uri $uri/ /index.html.</t>
  </si>
  <si>
    <t>TASK-83</t>
  </si>
  <si>
    <t>Xây dựng docker-compose.yml Hoàn chỉnh cho Môi trường Local &amp; Staging</t>
  </si>
  <si>
    <t>Khởi động toàn bộ hệ sinh thái chỉ bằng một câu lệnh docker compose up -d.</t>
  </si>
  <si>
    <t>Tạo docker-compose.yml ở root dự án gồm 3 services: mysql (8.4 utf8mb4), backend (Tomcat 10.1), frontend (Nginx reverse proxy /api/v1/ về backend).</t>
  </si>
  <si>
    <t>TASK-84</t>
  </si>
  <si>
    <t>Thiết lập Pipeline Tự động hóa CI/CD (GitHub Actions)</t>
  </si>
  <si>
    <t>Kiểm tra chất lượng tự động trước khi merge code và tự động deploy.</t>
  </si>
  <si>
    <t>Tạo .github/workflows/ci-cd.yml: PR chạy linter và unit test tự động; Push/Merge main tự động build Docker image và trigger deploy lên máy chủ.</t>
  </si>
  <si>
    <t>TASK-85</t>
  </si>
  <si>
    <t>DevOps &amp; Ops</t>
  </si>
  <si>
    <t>Lập Kế hoạch Chuyển dịch Hệ thống &amp; Nghiệm thu Go-Live (Cutover Checklist)</t>
  </si>
  <si>
    <t>Ops</t>
  </si>
  <si>
    <t>Quy trình chuẩn mực từng bước để đưa hệ thống vào vận hành thực tế không gián đoạn.</t>
  </si>
  <si>
    <t>Soạn thảo docs/dev-guides/GO_LIVE_CHECKLIST.md: Đổi mật khẩu mặc định, cài SSL Let's Encrypt, nạp API Key cổng thanh toán production, chạy Flyway migration prod, runbook backup/rollback.</t>
  </si>
  <si>
    <t>BẢNG ĐIỀU KHIỂN TIẾN ĐỘ THỰC HIỆN DỰ ÁN WEBCHICKEN</t>
  </si>
  <si>
    <t>Tổng số công việc (Total Tasks):</t>
  </si>
  <si>
    <t>Số công việc đã hoàn thành (Done):</t>
  </si>
  <si>
    <t>Số công việc còn lại (Pending):</t>
  </si>
  <si>
    <t>Tỷ lệ hoàn thành toàn dự án (%):</t>
  </si>
  <si>
    <t>TIẾN ĐỘ THEO TỪNG GIAI ĐOẠN (PHASE BREAKDOWN)</t>
  </si>
  <si>
    <t>Giai đoạn</t>
  </si>
  <si>
    <t>Tổng Tasks</t>
  </si>
  <si>
    <t>Đã xong</t>
  </si>
  <si>
    <t>Còn lại</t>
  </si>
  <si>
    <t>Tỷ lệ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</si>
</sst>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color rgb="FF0284C7"/>
      <sz val="9"/>
      <name val="Segoe UI"/>
    </font>
    <font>
      <b/>
      <sz val="9"/>
      <name val="Segoe UI"/>
    </font>
    <font>
      <sz val="9"/>
      <name val="Segoe UI"/>
    </font>
    <font>
      <b/>
      <color rgb="FFDC2626"/>
      <sz val="9"/>
      <name val="Segoe UI"/>
    </font>
    <font>
      <sz val="8"/>
      <name val="Segoe UI"/>
    </font>
    <font>
      <b/>
      <sz val="10"/>
      <name val="Segoe UI"/>
    </font>
    <font>
      <b/>
      <color rgb="FFEAB308"/>
      <sz val="9"/>
      <name val="Segoe UI"/>
    </font>
    <font>
      <b/>
      <color rgb="FF64748B"/>
      <sz val="9"/>
      <name val="Segoe UI"/>
    </font>
    <font>
      <b/>
      <color rgb="FF1E40AF"/>
      <sz val="12"/>
      <name val="Segoe UI"/>
    </font>
    <font>
      <b/>
      <color rgb="FF1E293B"/>
      <sz val="11"/>
      <name val="Segoe UI"/>
    </font>
    <font>
      <b/>
    </font>
    <font>
      <b/>
      <color rgb="FF0284C7"/>
    </font>
  </fonts>
  <fills count="8">
    <fill>
      <patternFill patternType="none"/>
    </fill>
    <fill>
      <patternFill patternType="gray125"/>
    </fill>
    <fill>
      <patternFill patternType="solid">
        <fgColor rgb="FF0F2B48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8" fillId="6" borderId="3" xfId="0" applyFont="1" applyFill="1" applyBorder="1"/>
    <xf numFmtId="0" fontId="11" fillId="4" borderId="3" xfId="0" applyFont="1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/>
    </xf>
    <xf numFmtId="0" fontId="12" fillId="0" borderId="0" xfId="0" applyFont="1"/>
    <xf numFmtId="0" fontId="2" fillId="7" borderId="0" xfId="0" applyFont="1" applyFill="1" applyAlignment="1">
      <alignment horizontal="center" vertical="center"/>
    </xf>
    <xf numFmtId="0" fontId="5" fillId="0" borderId="2" xfId="0" applyFont="1" applyBorder="1"/>
    <xf numFmtId="0" fontId="0" fillId="0" borderId="2" xfId="0" applyBorder="1" applyAlignment="1">
      <alignment horizontal="center"/>
    </xf>
    <xf numFmtId="0" fontId="13" fillId="0" borderId="2" xfId="0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065F46"/>
      </font>
      <fill>
        <patternFill patternType="solid"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22" customWidth="1"/>
    <col min="4" max="4" width="42" customWidth="1"/>
    <col min="5" max="5" width="14" customWidth="1"/>
    <col min="6" max="6" width="12" customWidth="1"/>
    <col min="7" max="7" width="48" customWidth="1"/>
    <col min="8" max="8" width="55" customWidth="1"/>
    <col min="9" max="9" width="20" customWidth="1"/>
    <col min="10" max="10" width="18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2" customHeight="1" spans="1:10" x14ac:dyDescent="0.25">
      <c r="A3" s="3" t="s">
        <v>11</v>
      </c>
      <c r="B3" s="4" t="s">
        <v>12</v>
      </c>
      <c r="C3" s="5" t="s">
        <v>13</v>
      </c>
      <c r="D3" s="6" t="s">
        <v>14</v>
      </c>
      <c r="E3" s="5" t="s">
        <v>15</v>
      </c>
      <c r="F3" s="7" t="s">
        <v>16</v>
      </c>
      <c r="G3" s="8" t="s">
        <v>17</v>
      </c>
      <c r="H3" s="8" t="s">
        <v>18</v>
      </c>
      <c r="I3" s="9" t="s">
        <v>19</v>
      </c>
      <c r="J3" s="10">
        <f>IF(I3="✓ ĐÃ XONG","Hoàn thành","Đang chờ")</f>
      </c>
    </row>
    <row r="4" ht="42" customHeight="1" spans="1:10" x14ac:dyDescent="0.25">
      <c r="A4" s="11" t="s">
        <v>20</v>
      </c>
      <c r="B4" s="12" t="s">
        <v>12</v>
      </c>
      <c r="C4" s="13" t="s">
        <v>13</v>
      </c>
      <c r="D4" s="14" t="s">
        <v>21</v>
      </c>
      <c r="E4" s="13" t="s">
        <v>15</v>
      </c>
      <c r="F4" s="15" t="s">
        <v>16</v>
      </c>
      <c r="G4" s="16" t="s">
        <v>22</v>
      </c>
      <c r="H4" s="16" t="s">
        <v>23</v>
      </c>
      <c r="I4" s="17" t="s">
        <v>19</v>
      </c>
      <c r="J4" s="18">
        <f>IF(I4="✓ ĐÃ XONG","Hoàn thành","Đang chờ")</f>
      </c>
    </row>
    <row r="5" ht="42" customHeight="1" spans="1:10" x14ac:dyDescent="0.25">
      <c r="A5" s="3" t="s">
        <v>24</v>
      </c>
      <c r="B5" s="4" t="s">
        <v>12</v>
      </c>
      <c r="C5" s="5" t="s">
        <v>13</v>
      </c>
      <c r="D5" s="6" t="s">
        <v>25</v>
      </c>
      <c r="E5" s="5" t="s">
        <v>15</v>
      </c>
      <c r="F5" s="7" t="s">
        <v>16</v>
      </c>
      <c r="G5" s="8" t="s">
        <v>26</v>
      </c>
      <c r="H5" s="8" t="s">
        <v>27</v>
      </c>
      <c r="I5" s="9" t="s">
        <v>19</v>
      </c>
      <c r="J5" s="10">
        <f>IF(I5="✓ ĐÃ XONG","Hoàn thành","Đang chờ")</f>
      </c>
    </row>
    <row r="6" ht="42" customHeight="1" spans="1:10" x14ac:dyDescent="0.25">
      <c r="A6" s="11" t="s">
        <v>28</v>
      </c>
      <c r="B6" s="12" t="s">
        <v>12</v>
      </c>
      <c r="C6" s="13" t="s">
        <v>13</v>
      </c>
      <c r="D6" s="14" t="s">
        <v>29</v>
      </c>
      <c r="E6" s="13" t="s">
        <v>15</v>
      </c>
      <c r="F6" s="15" t="s">
        <v>16</v>
      </c>
      <c r="G6" s="16" t="s">
        <v>30</v>
      </c>
      <c r="H6" s="16" t="s">
        <v>31</v>
      </c>
      <c r="I6" s="17" t="s">
        <v>19</v>
      </c>
      <c r="J6" s="18">
        <f>IF(I6="✓ ĐÃ XONG","Hoàn thành","Đang chờ")</f>
      </c>
    </row>
    <row r="7" ht="42" customHeight="1" spans="1:10" x14ac:dyDescent="0.25">
      <c r="A7" s="3" t="s">
        <v>32</v>
      </c>
      <c r="B7" s="4" t="s">
        <v>12</v>
      </c>
      <c r="C7" s="5" t="s">
        <v>13</v>
      </c>
      <c r="D7" s="6" t="s">
        <v>33</v>
      </c>
      <c r="E7" s="5" t="s">
        <v>15</v>
      </c>
      <c r="F7" s="7" t="s">
        <v>16</v>
      </c>
      <c r="G7" s="8" t="s">
        <v>34</v>
      </c>
      <c r="H7" s="8" t="s">
        <v>35</v>
      </c>
      <c r="I7" s="9" t="s">
        <v>19</v>
      </c>
      <c r="J7" s="10">
        <f>IF(I7="✓ ĐÃ XONG","Hoàn thành","Đang chờ")</f>
      </c>
    </row>
    <row r="8" ht="42" customHeight="1" spans="1:10" x14ac:dyDescent="0.25">
      <c r="A8" s="11" t="s">
        <v>36</v>
      </c>
      <c r="B8" s="12" t="s">
        <v>12</v>
      </c>
      <c r="C8" s="13" t="s">
        <v>37</v>
      </c>
      <c r="D8" s="14" t="s">
        <v>38</v>
      </c>
      <c r="E8" s="13" t="s">
        <v>15</v>
      </c>
      <c r="F8" s="15" t="s">
        <v>16</v>
      </c>
      <c r="G8" s="16" t="s">
        <v>39</v>
      </c>
      <c r="H8" s="16" t="s">
        <v>40</v>
      </c>
      <c r="I8" s="17" t="s">
        <v>19</v>
      </c>
      <c r="J8" s="18">
        <f>IF(I8="✓ ĐÃ XONG","Hoàn thành","Đang chờ")</f>
      </c>
    </row>
    <row r="9" ht="42" customHeight="1" spans="1:10" x14ac:dyDescent="0.25">
      <c r="A9" s="3" t="s">
        <v>41</v>
      </c>
      <c r="B9" s="4" t="s">
        <v>12</v>
      </c>
      <c r="C9" s="5" t="s">
        <v>13</v>
      </c>
      <c r="D9" s="6" t="s">
        <v>42</v>
      </c>
      <c r="E9" s="5" t="s">
        <v>15</v>
      </c>
      <c r="F9" s="19" t="s">
        <v>43</v>
      </c>
      <c r="G9" s="8" t="s">
        <v>44</v>
      </c>
      <c r="H9" s="8" t="s">
        <v>45</v>
      </c>
      <c r="I9" s="9" t="s">
        <v>19</v>
      </c>
      <c r="J9" s="10">
        <f>IF(I9="✓ ĐÃ XONG","Hoàn thành","Đang chờ")</f>
      </c>
    </row>
    <row r="10" ht="42" customHeight="1" spans="1:10" x14ac:dyDescent="0.25">
      <c r="A10" s="11" t="s">
        <v>46</v>
      </c>
      <c r="B10" s="12" t="s">
        <v>12</v>
      </c>
      <c r="C10" s="13" t="s">
        <v>47</v>
      </c>
      <c r="D10" s="14" t="s">
        <v>48</v>
      </c>
      <c r="E10" s="13" t="s">
        <v>15</v>
      </c>
      <c r="F10" s="15" t="s">
        <v>16</v>
      </c>
      <c r="G10" s="16" t="s">
        <v>49</v>
      </c>
      <c r="H10" s="16" t="s">
        <v>50</v>
      </c>
      <c r="I10" s="17" t="s">
        <v>19</v>
      </c>
      <c r="J10" s="18">
        <f>IF(I10="✓ ĐÃ XONG","Hoàn thành","Đang chờ")</f>
      </c>
    </row>
    <row r="11" ht="42" customHeight="1" spans="1:10" x14ac:dyDescent="0.25">
      <c r="A11" s="3" t="s">
        <v>51</v>
      </c>
      <c r="B11" s="4" t="s">
        <v>12</v>
      </c>
      <c r="C11" s="5" t="s">
        <v>47</v>
      </c>
      <c r="D11" s="6" t="s">
        <v>52</v>
      </c>
      <c r="E11" s="5" t="s">
        <v>15</v>
      </c>
      <c r="F11" s="7" t="s">
        <v>16</v>
      </c>
      <c r="G11" s="8" t="s">
        <v>53</v>
      </c>
      <c r="H11" s="8" t="s">
        <v>54</v>
      </c>
      <c r="I11" s="9" t="s">
        <v>19</v>
      </c>
      <c r="J11" s="10">
        <f>IF(I11="✓ ĐÃ XONG","Hoàn thành","Đang chờ")</f>
      </c>
    </row>
    <row r="12" ht="42" customHeight="1" spans="1:10" x14ac:dyDescent="0.25">
      <c r="A12" s="11" t="s">
        <v>55</v>
      </c>
      <c r="B12" s="12" t="s">
        <v>12</v>
      </c>
      <c r="C12" s="13" t="s">
        <v>56</v>
      </c>
      <c r="D12" s="14" t="s">
        <v>57</v>
      </c>
      <c r="E12" s="13" t="s">
        <v>58</v>
      </c>
      <c r="F12" s="15" t="s">
        <v>16</v>
      </c>
      <c r="G12" s="16" t="s">
        <v>59</v>
      </c>
      <c r="H12" s="16" t="s">
        <v>60</v>
      </c>
      <c r="I12" s="17" t="s">
        <v>19</v>
      </c>
      <c r="J12" s="18">
        <f>IF(I12="✓ ĐÃ XONG","Hoàn thành","Đang chờ")</f>
      </c>
    </row>
    <row r="13" ht="42" customHeight="1" spans="1:10" x14ac:dyDescent="0.25">
      <c r="A13" s="3" t="s">
        <v>61</v>
      </c>
      <c r="B13" s="4" t="s">
        <v>12</v>
      </c>
      <c r="C13" s="5" t="s">
        <v>62</v>
      </c>
      <c r="D13" s="6" t="s">
        <v>63</v>
      </c>
      <c r="E13" s="5" t="s">
        <v>15</v>
      </c>
      <c r="F13" s="7" t="s">
        <v>16</v>
      </c>
      <c r="G13" s="8" t="s">
        <v>64</v>
      </c>
      <c r="H13" s="8" t="s">
        <v>65</v>
      </c>
      <c r="I13" s="9" t="s">
        <v>19</v>
      </c>
      <c r="J13" s="10">
        <f>IF(I13="✓ ĐÃ XONG","Hoàn thành","Đang chờ")</f>
      </c>
    </row>
    <row r="14" ht="42" customHeight="1" spans="1:10" x14ac:dyDescent="0.25">
      <c r="A14" s="11" t="s">
        <v>66</v>
      </c>
      <c r="B14" s="12" t="s">
        <v>12</v>
      </c>
      <c r="C14" s="13" t="s">
        <v>67</v>
      </c>
      <c r="D14" s="14" t="s">
        <v>68</v>
      </c>
      <c r="E14" s="13" t="s">
        <v>15</v>
      </c>
      <c r="F14" s="20" t="s">
        <v>43</v>
      </c>
      <c r="G14" s="16" t="s">
        <v>69</v>
      </c>
      <c r="H14" s="16" t="s">
        <v>70</v>
      </c>
      <c r="I14" s="17" t="s">
        <v>19</v>
      </c>
      <c r="J14" s="18">
        <f>IF(I14="✓ ĐÃ XONG","Hoàn thành","Đang chờ")</f>
      </c>
    </row>
    <row r="15" ht="42" customHeight="1" spans="1:10" x14ac:dyDescent="0.25">
      <c r="A15" s="3" t="s">
        <v>71</v>
      </c>
      <c r="B15" s="4" t="s">
        <v>12</v>
      </c>
      <c r="C15" s="5" t="s">
        <v>72</v>
      </c>
      <c r="D15" s="6" t="s">
        <v>73</v>
      </c>
      <c r="E15" s="5" t="s">
        <v>74</v>
      </c>
      <c r="F15" s="7" t="s">
        <v>16</v>
      </c>
      <c r="G15" s="8" t="s">
        <v>75</v>
      </c>
      <c r="H15" s="8" t="s">
        <v>76</v>
      </c>
      <c r="I15" s="9" t="s">
        <v>19</v>
      </c>
      <c r="J15" s="10">
        <f>IF(I15="✓ ĐÃ XONG","Hoàn thành","Đang chờ")</f>
      </c>
    </row>
    <row r="16" ht="42" customHeight="1" spans="1:10" x14ac:dyDescent="0.25">
      <c r="A16" s="11" t="s">
        <v>77</v>
      </c>
      <c r="B16" s="12" t="s">
        <v>12</v>
      </c>
      <c r="C16" s="13" t="s">
        <v>72</v>
      </c>
      <c r="D16" s="14" t="s">
        <v>78</v>
      </c>
      <c r="E16" s="13" t="s">
        <v>74</v>
      </c>
      <c r="F16" s="15" t="s">
        <v>16</v>
      </c>
      <c r="G16" s="16" t="s">
        <v>79</v>
      </c>
      <c r="H16" s="16" t="s">
        <v>80</v>
      </c>
      <c r="I16" s="17" t="s">
        <v>19</v>
      </c>
      <c r="J16" s="18">
        <f>IF(I16="✓ ĐÃ XONG","Hoàn thành","Đang chờ")</f>
      </c>
    </row>
    <row r="17" ht="42" customHeight="1" spans="1:10" x14ac:dyDescent="0.25">
      <c r="A17" s="3" t="s">
        <v>81</v>
      </c>
      <c r="B17" s="4" t="s">
        <v>12</v>
      </c>
      <c r="C17" s="5" t="s">
        <v>72</v>
      </c>
      <c r="D17" s="6" t="s">
        <v>82</v>
      </c>
      <c r="E17" s="5" t="s">
        <v>74</v>
      </c>
      <c r="F17" s="19" t="s">
        <v>43</v>
      </c>
      <c r="G17" s="8" t="s">
        <v>83</v>
      </c>
      <c r="H17" s="8" t="s">
        <v>84</v>
      </c>
      <c r="I17" s="9" t="s">
        <v>19</v>
      </c>
      <c r="J17" s="10">
        <f>IF(I17="✓ ĐÃ XONG","Hoàn thành","Đang chờ")</f>
      </c>
    </row>
    <row r="18" ht="42" customHeight="1" spans="1:10" x14ac:dyDescent="0.25">
      <c r="A18" s="11" t="s">
        <v>85</v>
      </c>
      <c r="B18" s="12" t="s">
        <v>86</v>
      </c>
      <c r="C18" s="13" t="s">
        <v>87</v>
      </c>
      <c r="D18" s="14" t="s">
        <v>88</v>
      </c>
      <c r="E18" s="13" t="s">
        <v>15</v>
      </c>
      <c r="F18" s="15" t="s">
        <v>16</v>
      </c>
      <c r="G18" s="16" t="s">
        <v>89</v>
      </c>
      <c r="H18" s="16" t="s">
        <v>90</v>
      </c>
      <c r="I18" s="17" t="s">
        <v>91</v>
      </c>
      <c r="J18" s="18">
        <f>IF(I18="✓ ĐÃ XONG","Hoàn thành","Đang chờ")</f>
      </c>
    </row>
    <row r="19" ht="42" customHeight="1" spans="1:10" x14ac:dyDescent="0.25">
      <c r="A19" s="3" t="s">
        <v>92</v>
      </c>
      <c r="B19" s="4" t="s">
        <v>86</v>
      </c>
      <c r="C19" s="5" t="s">
        <v>87</v>
      </c>
      <c r="D19" s="6" t="s">
        <v>93</v>
      </c>
      <c r="E19" s="5" t="s">
        <v>15</v>
      </c>
      <c r="F19" s="7" t="s">
        <v>16</v>
      </c>
      <c r="G19" s="8" t="s">
        <v>94</v>
      </c>
      <c r="H19" s="8" t="s">
        <v>95</v>
      </c>
      <c r="I19" s="9" t="s">
        <v>91</v>
      </c>
      <c r="J19" s="10">
        <f>IF(I19="✓ ĐÃ XONG","Hoàn thành","Đang chờ")</f>
      </c>
    </row>
    <row r="20" ht="42" customHeight="1" spans="1:10" x14ac:dyDescent="0.25">
      <c r="A20" s="11" t="s">
        <v>96</v>
      </c>
      <c r="B20" s="12" t="s">
        <v>86</v>
      </c>
      <c r="C20" s="13" t="s">
        <v>87</v>
      </c>
      <c r="D20" s="14" t="s">
        <v>97</v>
      </c>
      <c r="E20" s="13" t="s">
        <v>15</v>
      </c>
      <c r="F20" s="15" t="s">
        <v>16</v>
      </c>
      <c r="G20" s="16" t="s">
        <v>98</v>
      </c>
      <c r="H20" s="16" t="s">
        <v>99</v>
      </c>
      <c r="I20" s="17" t="s">
        <v>91</v>
      </c>
      <c r="J20" s="18">
        <f>IF(I20="✓ ĐÃ XONG","Hoàn thành","Đang chờ")</f>
      </c>
    </row>
    <row r="21" ht="42" customHeight="1" spans="1:10" x14ac:dyDescent="0.25">
      <c r="A21" s="3" t="s">
        <v>100</v>
      </c>
      <c r="B21" s="4" t="s">
        <v>86</v>
      </c>
      <c r="C21" s="5" t="s">
        <v>87</v>
      </c>
      <c r="D21" s="6" t="s">
        <v>101</v>
      </c>
      <c r="E21" s="5" t="s">
        <v>15</v>
      </c>
      <c r="F21" s="19" t="s">
        <v>43</v>
      </c>
      <c r="G21" s="8" t="s">
        <v>102</v>
      </c>
      <c r="H21" s="8" t="s">
        <v>103</v>
      </c>
      <c r="I21" s="9" t="s">
        <v>91</v>
      </c>
      <c r="J21" s="10">
        <f>IF(I21="✓ ĐÃ XONG","Hoàn thành","Đang chờ")</f>
      </c>
    </row>
    <row r="22" ht="42" customHeight="1" spans="1:10" x14ac:dyDescent="0.25">
      <c r="A22" s="11" t="s">
        <v>104</v>
      </c>
      <c r="B22" s="12" t="s">
        <v>86</v>
      </c>
      <c r="C22" s="13" t="s">
        <v>87</v>
      </c>
      <c r="D22" s="14" t="s">
        <v>105</v>
      </c>
      <c r="E22" s="13" t="s">
        <v>15</v>
      </c>
      <c r="F22" s="15" t="s">
        <v>16</v>
      </c>
      <c r="G22" s="16" t="s">
        <v>106</v>
      </c>
      <c r="H22" s="16" t="s">
        <v>107</v>
      </c>
      <c r="I22" s="17" t="s">
        <v>91</v>
      </c>
      <c r="J22" s="18">
        <f>IF(I22="✓ ĐÃ XONG","Hoàn thành","Đang chờ")</f>
      </c>
    </row>
    <row r="23" ht="42" customHeight="1" spans="1:10" x14ac:dyDescent="0.25">
      <c r="A23" s="3" t="s">
        <v>108</v>
      </c>
      <c r="B23" s="4" t="s">
        <v>86</v>
      </c>
      <c r="C23" s="5" t="s">
        <v>109</v>
      </c>
      <c r="D23" s="6" t="s">
        <v>110</v>
      </c>
      <c r="E23" s="5" t="s">
        <v>74</v>
      </c>
      <c r="F23" s="7" t="s">
        <v>16</v>
      </c>
      <c r="G23" s="8" t="s">
        <v>111</v>
      </c>
      <c r="H23" s="8" t="s">
        <v>112</v>
      </c>
      <c r="I23" s="9" t="s">
        <v>91</v>
      </c>
      <c r="J23" s="10">
        <f>IF(I23="✓ ĐÃ XONG","Hoàn thành","Đang chờ")</f>
      </c>
    </row>
    <row r="24" ht="42" customHeight="1" spans="1:10" x14ac:dyDescent="0.25">
      <c r="A24" s="11" t="s">
        <v>113</v>
      </c>
      <c r="B24" s="12" t="s">
        <v>86</v>
      </c>
      <c r="C24" s="13" t="s">
        <v>114</v>
      </c>
      <c r="D24" s="14" t="s">
        <v>115</v>
      </c>
      <c r="E24" s="13" t="s">
        <v>74</v>
      </c>
      <c r="F24" s="20" t="s">
        <v>43</v>
      </c>
      <c r="G24" s="16" t="s">
        <v>116</v>
      </c>
      <c r="H24" s="16" t="s">
        <v>117</v>
      </c>
      <c r="I24" s="17" t="s">
        <v>91</v>
      </c>
      <c r="J24" s="18">
        <f>IF(I24="✓ ĐÃ XONG","Hoàn thành","Đang chờ")</f>
      </c>
    </row>
    <row r="25" ht="42" customHeight="1" spans="1:10" x14ac:dyDescent="0.25">
      <c r="A25" s="3" t="s">
        <v>118</v>
      </c>
      <c r="B25" s="4" t="s">
        <v>86</v>
      </c>
      <c r="C25" s="5" t="s">
        <v>119</v>
      </c>
      <c r="D25" s="6" t="s">
        <v>120</v>
      </c>
      <c r="E25" s="5" t="s">
        <v>15</v>
      </c>
      <c r="F25" s="19" t="s">
        <v>43</v>
      </c>
      <c r="G25" s="8" t="s">
        <v>121</v>
      </c>
      <c r="H25" s="8" t="s">
        <v>122</v>
      </c>
      <c r="I25" s="9" t="s">
        <v>91</v>
      </c>
      <c r="J25" s="10">
        <f>IF(I25="✓ ĐÃ XONG","Hoàn thành","Đang chờ")</f>
      </c>
    </row>
    <row r="26" ht="42" customHeight="1" spans="1:10" x14ac:dyDescent="0.25">
      <c r="A26" s="11" t="s">
        <v>123</v>
      </c>
      <c r="B26" s="12" t="s">
        <v>86</v>
      </c>
      <c r="C26" s="13" t="s">
        <v>119</v>
      </c>
      <c r="D26" s="14" t="s">
        <v>124</v>
      </c>
      <c r="E26" s="13" t="s">
        <v>15</v>
      </c>
      <c r="F26" s="20" t="s">
        <v>43</v>
      </c>
      <c r="G26" s="16" t="s">
        <v>125</v>
      </c>
      <c r="H26" s="16" t="s">
        <v>126</v>
      </c>
      <c r="I26" s="17" t="s">
        <v>91</v>
      </c>
      <c r="J26" s="18">
        <f>IF(I26="✓ ĐÃ XONG","Hoàn thành","Đang chờ")</f>
      </c>
    </row>
    <row r="27" ht="42" customHeight="1" spans="1:10" x14ac:dyDescent="0.25">
      <c r="A27" s="3" t="s">
        <v>127</v>
      </c>
      <c r="B27" s="4" t="s">
        <v>86</v>
      </c>
      <c r="C27" s="5" t="s">
        <v>128</v>
      </c>
      <c r="D27" s="6" t="s">
        <v>129</v>
      </c>
      <c r="E27" s="5" t="s">
        <v>15</v>
      </c>
      <c r="F27" s="19" t="s">
        <v>43</v>
      </c>
      <c r="G27" s="8" t="s">
        <v>130</v>
      </c>
      <c r="H27" s="8" t="s">
        <v>131</v>
      </c>
      <c r="I27" s="9" t="s">
        <v>91</v>
      </c>
      <c r="J27" s="10">
        <f>IF(I27="✓ ĐÃ XONG","Hoàn thành","Đang chờ")</f>
      </c>
    </row>
    <row r="28" ht="42" customHeight="1" spans="1:10" x14ac:dyDescent="0.25">
      <c r="A28" s="11" t="s">
        <v>132</v>
      </c>
      <c r="B28" s="12" t="s">
        <v>86</v>
      </c>
      <c r="C28" s="13" t="s">
        <v>133</v>
      </c>
      <c r="D28" s="14" t="s">
        <v>134</v>
      </c>
      <c r="E28" s="13" t="s">
        <v>74</v>
      </c>
      <c r="F28" s="20" t="s">
        <v>43</v>
      </c>
      <c r="G28" s="16" t="s">
        <v>135</v>
      </c>
      <c r="H28" s="16" t="s">
        <v>136</v>
      </c>
      <c r="I28" s="17" t="s">
        <v>91</v>
      </c>
      <c r="J28" s="18">
        <f>IF(I28="✓ ĐÃ XONG","Hoàn thành","Đang chờ")</f>
      </c>
    </row>
    <row r="29" ht="42" customHeight="1" spans="1:10" x14ac:dyDescent="0.25">
      <c r="A29" s="3" t="s">
        <v>137</v>
      </c>
      <c r="B29" s="4" t="s">
        <v>86</v>
      </c>
      <c r="C29" s="5" t="s">
        <v>138</v>
      </c>
      <c r="D29" s="6" t="s">
        <v>139</v>
      </c>
      <c r="E29" s="5" t="s">
        <v>15</v>
      </c>
      <c r="F29" s="7" t="s">
        <v>16</v>
      </c>
      <c r="G29" s="8" t="s">
        <v>140</v>
      </c>
      <c r="H29" s="8" t="s">
        <v>141</v>
      </c>
      <c r="I29" s="9" t="s">
        <v>91</v>
      </c>
      <c r="J29" s="10">
        <f>IF(I29="✓ ĐÃ XONG","Hoàn thành","Đang chờ")</f>
      </c>
    </row>
    <row r="30" ht="42" customHeight="1" spans="1:10" x14ac:dyDescent="0.25">
      <c r="A30" s="11" t="s">
        <v>142</v>
      </c>
      <c r="B30" s="12" t="s">
        <v>86</v>
      </c>
      <c r="C30" s="13" t="s">
        <v>138</v>
      </c>
      <c r="D30" s="14" t="s">
        <v>143</v>
      </c>
      <c r="E30" s="13" t="s">
        <v>15</v>
      </c>
      <c r="F30" s="15" t="s">
        <v>16</v>
      </c>
      <c r="G30" s="16" t="s">
        <v>144</v>
      </c>
      <c r="H30" s="16" t="s">
        <v>145</v>
      </c>
      <c r="I30" s="17" t="s">
        <v>91</v>
      </c>
      <c r="J30" s="18">
        <f>IF(I30="✓ ĐÃ XONG","Hoàn thành","Đang chờ")</f>
      </c>
    </row>
    <row r="31" ht="42" customHeight="1" spans="1:10" x14ac:dyDescent="0.25">
      <c r="A31" s="3" t="s">
        <v>146</v>
      </c>
      <c r="B31" s="4" t="s">
        <v>86</v>
      </c>
      <c r="C31" s="5" t="s">
        <v>138</v>
      </c>
      <c r="D31" s="6" t="s">
        <v>147</v>
      </c>
      <c r="E31" s="5" t="s">
        <v>15</v>
      </c>
      <c r="F31" s="7" t="s">
        <v>16</v>
      </c>
      <c r="G31" s="8" t="s">
        <v>148</v>
      </c>
      <c r="H31" s="8" t="s">
        <v>149</v>
      </c>
      <c r="I31" s="9" t="s">
        <v>91</v>
      </c>
      <c r="J31" s="10">
        <f>IF(I31="✓ ĐÃ XONG","Hoàn thành","Đang chờ")</f>
      </c>
    </row>
    <row r="32" ht="42" customHeight="1" spans="1:10" x14ac:dyDescent="0.25">
      <c r="A32" s="11" t="s">
        <v>150</v>
      </c>
      <c r="B32" s="12" t="s">
        <v>86</v>
      </c>
      <c r="C32" s="13" t="s">
        <v>138</v>
      </c>
      <c r="D32" s="14" t="s">
        <v>151</v>
      </c>
      <c r="E32" s="13" t="s">
        <v>15</v>
      </c>
      <c r="F32" s="15" t="s">
        <v>16</v>
      </c>
      <c r="G32" s="16" t="s">
        <v>152</v>
      </c>
      <c r="H32" s="16" t="s">
        <v>153</v>
      </c>
      <c r="I32" s="17" t="s">
        <v>91</v>
      </c>
      <c r="J32" s="18">
        <f>IF(I32="✓ ĐÃ XONG","Hoàn thành","Đang chờ")</f>
      </c>
    </row>
    <row r="33" ht="42" customHeight="1" spans="1:10" x14ac:dyDescent="0.25">
      <c r="A33" s="3" t="s">
        <v>154</v>
      </c>
      <c r="B33" s="4" t="s">
        <v>86</v>
      </c>
      <c r="C33" s="5" t="s">
        <v>155</v>
      </c>
      <c r="D33" s="6" t="s">
        <v>156</v>
      </c>
      <c r="E33" s="5" t="s">
        <v>74</v>
      </c>
      <c r="F33" s="7" t="s">
        <v>16</v>
      </c>
      <c r="G33" s="8" t="s">
        <v>157</v>
      </c>
      <c r="H33" s="8" t="s">
        <v>158</v>
      </c>
      <c r="I33" s="9" t="s">
        <v>91</v>
      </c>
      <c r="J33" s="10">
        <f>IF(I33="✓ ĐÃ XONG","Hoàn thành","Đang chờ")</f>
      </c>
    </row>
    <row r="34" ht="42" customHeight="1" spans="1:10" x14ac:dyDescent="0.25">
      <c r="A34" s="11" t="s">
        <v>159</v>
      </c>
      <c r="B34" s="12" t="s">
        <v>86</v>
      </c>
      <c r="C34" s="13" t="s">
        <v>160</v>
      </c>
      <c r="D34" s="14" t="s">
        <v>161</v>
      </c>
      <c r="E34" s="13" t="s">
        <v>74</v>
      </c>
      <c r="F34" s="20" t="s">
        <v>43</v>
      </c>
      <c r="G34" s="16" t="s">
        <v>162</v>
      </c>
      <c r="H34" s="16" t="s">
        <v>163</v>
      </c>
      <c r="I34" s="17" t="s">
        <v>91</v>
      </c>
      <c r="J34" s="18">
        <f>IF(I34="✓ ĐÃ XONG","Hoàn thành","Đang chờ")</f>
      </c>
    </row>
    <row r="35" ht="42" customHeight="1" spans="1:10" x14ac:dyDescent="0.25">
      <c r="A35" s="3" t="s">
        <v>164</v>
      </c>
      <c r="B35" s="4" t="s">
        <v>86</v>
      </c>
      <c r="C35" s="5" t="s">
        <v>133</v>
      </c>
      <c r="D35" s="6" t="s">
        <v>165</v>
      </c>
      <c r="E35" s="5" t="s">
        <v>74</v>
      </c>
      <c r="F35" s="7" t="s">
        <v>16</v>
      </c>
      <c r="G35" s="8" t="s">
        <v>166</v>
      </c>
      <c r="H35" s="8" t="s">
        <v>167</v>
      </c>
      <c r="I35" s="9" t="s">
        <v>91</v>
      </c>
      <c r="J35" s="10">
        <f>IF(I35="✓ ĐÃ XONG","Hoàn thành","Đang chờ")</f>
      </c>
    </row>
    <row r="36" ht="42" customHeight="1" spans="1:10" x14ac:dyDescent="0.25">
      <c r="A36" s="11" t="s">
        <v>168</v>
      </c>
      <c r="B36" s="12" t="s">
        <v>86</v>
      </c>
      <c r="C36" s="13" t="s">
        <v>169</v>
      </c>
      <c r="D36" s="14" t="s">
        <v>170</v>
      </c>
      <c r="E36" s="13" t="s">
        <v>74</v>
      </c>
      <c r="F36" s="15" t="s">
        <v>16</v>
      </c>
      <c r="G36" s="16" t="s">
        <v>171</v>
      </c>
      <c r="H36" s="16" t="s">
        <v>172</v>
      </c>
      <c r="I36" s="17" t="s">
        <v>91</v>
      </c>
      <c r="J36" s="18">
        <f>IF(I36="✓ ĐÃ XONG","Hoàn thành","Đang chờ")</f>
      </c>
    </row>
    <row r="37" ht="42" customHeight="1" spans="1:10" x14ac:dyDescent="0.25">
      <c r="A37" s="3" t="s">
        <v>173</v>
      </c>
      <c r="B37" s="4" t="s">
        <v>86</v>
      </c>
      <c r="C37" s="5" t="s">
        <v>169</v>
      </c>
      <c r="D37" s="6" t="s">
        <v>174</v>
      </c>
      <c r="E37" s="5" t="s">
        <v>74</v>
      </c>
      <c r="F37" s="7" t="s">
        <v>16</v>
      </c>
      <c r="G37" s="8" t="s">
        <v>175</v>
      </c>
      <c r="H37" s="8" t="s">
        <v>176</v>
      </c>
      <c r="I37" s="9" t="s">
        <v>91</v>
      </c>
      <c r="J37" s="10">
        <f>IF(I37="✓ ĐÃ XONG","Hoàn thành","Đang chờ")</f>
      </c>
    </row>
    <row r="38" ht="42" customHeight="1" spans="1:10" x14ac:dyDescent="0.25">
      <c r="A38" s="11" t="s">
        <v>177</v>
      </c>
      <c r="B38" s="12" t="s">
        <v>178</v>
      </c>
      <c r="C38" s="13" t="s">
        <v>179</v>
      </c>
      <c r="D38" s="14" t="s">
        <v>180</v>
      </c>
      <c r="E38" s="13" t="s">
        <v>15</v>
      </c>
      <c r="F38" s="15" t="s">
        <v>16</v>
      </c>
      <c r="G38" s="16" t="s">
        <v>181</v>
      </c>
      <c r="H38" s="16" t="s">
        <v>182</v>
      </c>
      <c r="I38" s="17" t="s">
        <v>91</v>
      </c>
      <c r="J38" s="18">
        <f>IF(I38="✓ ĐÃ XONG","Hoàn thành","Đang chờ")</f>
      </c>
    </row>
    <row r="39" ht="42" customHeight="1" spans="1:10" x14ac:dyDescent="0.25">
      <c r="A39" s="3" t="s">
        <v>183</v>
      </c>
      <c r="B39" s="4" t="s">
        <v>178</v>
      </c>
      <c r="C39" s="5" t="s">
        <v>179</v>
      </c>
      <c r="D39" s="6" t="s">
        <v>184</v>
      </c>
      <c r="E39" s="5" t="s">
        <v>15</v>
      </c>
      <c r="F39" s="7" t="s">
        <v>16</v>
      </c>
      <c r="G39" s="8" t="s">
        <v>185</v>
      </c>
      <c r="H39" s="8" t="s">
        <v>186</v>
      </c>
      <c r="I39" s="9" t="s">
        <v>91</v>
      </c>
      <c r="J39" s="10">
        <f>IF(I39="✓ ĐÃ XONG","Hoàn thành","Đang chờ")</f>
      </c>
    </row>
    <row r="40" ht="42" customHeight="1" spans="1:10" x14ac:dyDescent="0.25">
      <c r="A40" s="11" t="s">
        <v>187</v>
      </c>
      <c r="B40" s="12" t="s">
        <v>178</v>
      </c>
      <c r="C40" s="13" t="s">
        <v>188</v>
      </c>
      <c r="D40" s="14" t="s">
        <v>189</v>
      </c>
      <c r="E40" s="13" t="s">
        <v>15</v>
      </c>
      <c r="F40" s="15" t="s">
        <v>16</v>
      </c>
      <c r="G40" s="16" t="s">
        <v>190</v>
      </c>
      <c r="H40" s="16" t="s">
        <v>191</v>
      </c>
      <c r="I40" s="17" t="s">
        <v>91</v>
      </c>
      <c r="J40" s="18">
        <f>IF(I40="✓ ĐÃ XONG","Hoàn thành","Đang chờ")</f>
      </c>
    </row>
    <row r="41" ht="42" customHeight="1" spans="1:10" x14ac:dyDescent="0.25">
      <c r="A41" s="3" t="s">
        <v>192</v>
      </c>
      <c r="B41" s="4" t="s">
        <v>178</v>
      </c>
      <c r="C41" s="5" t="s">
        <v>188</v>
      </c>
      <c r="D41" s="6" t="s">
        <v>193</v>
      </c>
      <c r="E41" s="5" t="s">
        <v>15</v>
      </c>
      <c r="F41" s="7" t="s">
        <v>16</v>
      </c>
      <c r="G41" s="8" t="s">
        <v>194</v>
      </c>
      <c r="H41" s="8" t="s">
        <v>195</v>
      </c>
      <c r="I41" s="9" t="s">
        <v>91</v>
      </c>
      <c r="J41" s="10">
        <f>IF(I41="✓ ĐÃ XONG","Hoàn thành","Đang chờ")</f>
      </c>
    </row>
    <row r="42" ht="42" customHeight="1" spans="1:10" x14ac:dyDescent="0.25">
      <c r="A42" s="11" t="s">
        <v>196</v>
      </c>
      <c r="B42" s="12" t="s">
        <v>178</v>
      </c>
      <c r="C42" s="13" t="s">
        <v>188</v>
      </c>
      <c r="D42" s="14" t="s">
        <v>197</v>
      </c>
      <c r="E42" s="13" t="s">
        <v>15</v>
      </c>
      <c r="F42" s="15" t="s">
        <v>16</v>
      </c>
      <c r="G42" s="16" t="s">
        <v>198</v>
      </c>
      <c r="H42" s="16" t="s">
        <v>199</v>
      </c>
      <c r="I42" s="17" t="s">
        <v>91</v>
      </c>
      <c r="J42" s="18">
        <f>IF(I42="✓ ĐÃ XONG","Hoàn thành","Đang chờ")</f>
      </c>
    </row>
    <row r="43" ht="42" customHeight="1" spans="1:10" x14ac:dyDescent="0.25">
      <c r="A43" s="3" t="s">
        <v>200</v>
      </c>
      <c r="B43" s="4" t="s">
        <v>178</v>
      </c>
      <c r="C43" s="5" t="s">
        <v>201</v>
      </c>
      <c r="D43" s="6" t="s">
        <v>202</v>
      </c>
      <c r="E43" s="5" t="s">
        <v>74</v>
      </c>
      <c r="F43" s="7" t="s">
        <v>16</v>
      </c>
      <c r="G43" s="8" t="s">
        <v>203</v>
      </c>
      <c r="H43" s="8" t="s">
        <v>204</v>
      </c>
      <c r="I43" s="9" t="s">
        <v>91</v>
      </c>
      <c r="J43" s="10">
        <f>IF(I43="✓ ĐÃ XONG","Hoàn thành","Đang chờ")</f>
      </c>
    </row>
    <row r="44" ht="42" customHeight="1" spans="1:10" x14ac:dyDescent="0.25">
      <c r="A44" s="11" t="s">
        <v>205</v>
      </c>
      <c r="B44" s="12" t="s">
        <v>178</v>
      </c>
      <c r="C44" s="13" t="s">
        <v>206</v>
      </c>
      <c r="D44" s="14" t="s">
        <v>207</v>
      </c>
      <c r="E44" s="13" t="s">
        <v>15</v>
      </c>
      <c r="F44" s="15" t="s">
        <v>16</v>
      </c>
      <c r="G44" s="16" t="s">
        <v>208</v>
      </c>
      <c r="H44" s="16" t="s">
        <v>209</v>
      </c>
      <c r="I44" s="17" t="s">
        <v>91</v>
      </c>
      <c r="J44" s="18">
        <f>IF(I44="✓ ĐÃ XONG","Hoàn thành","Đang chờ")</f>
      </c>
    </row>
    <row r="45" ht="42" customHeight="1" spans="1:10" x14ac:dyDescent="0.25">
      <c r="A45" s="3" t="s">
        <v>210</v>
      </c>
      <c r="B45" s="4" t="s">
        <v>178</v>
      </c>
      <c r="C45" s="5" t="s">
        <v>206</v>
      </c>
      <c r="D45" s="6" t="s">
        <v>211</v>
      </c>
      <c r="E45" s="5" t="s">
        <v>212</v>
      </c>
      <c r="F45" s="19" t="s">
        <v>43</v>
      </c>
      <c r="G45" s="8" t="s">
        <v>213</v>
      </c>
      <c r="H45" s="8" t="s">
        <v>214</v>
      </c>
      <c r="I45" s="9" t="s">
        <v>91</v>
      </c>
      <c r="J45" s="10">
        <f>IF(I45="✓ ĐÃ XONG","Hoàn thành","Đang chờ")</f>
      </c>
    </row>
    <row r="46" ht="42" customHeight="1" spans="1:10" x14ac:dyDescent="0.25">
      <c r="A46" s="11" t="s">
        <v>215</v>
      </c>
      <c r="B46" s="12" t="s">
        <v>178</v>
      </c>
      <c r="C46" s="13" t="s">
        <v>216</v>
      </c>
      <c r="D46" s="14" t="s">
        <v>217</v>
      </c>
      <c r="E46" s="13" t="s">
        <v>15</v>
      </c>
      <c r="F46" s="15" t="s">
        <v>16</v>
      </c>
      <c r="G46" s="16" t="s">
        <v>218</v>
      </c>
      <c r="H46" s="16" t="s">
        <v>219</v>
      </c>
      <c r="I46" s="17" t="s">
        <v>91</v>
      </c>
      <c r="J46" s="18">
        <f>IF(I46="✓ ĐÃ XONG","Hoàn thành","Đang chờ")</f>
      </c>
    </row>
    <row r="47" ht="42" customHeight="1" spans="1:10" x14ac:dyDescent="0.25">
      <c r="A47" s="3" t="s">
        <v>220</v>
      </c>
      <c r="B47" s="4" t="s">
        <v>178</v>
      </c>
      <c r="C47" s="5" t="s">
        <v>216</v>
      </c>
      <c r="D47" s="6" t="s">
        <v>221</v>
      </c>
      <c r="E47" s="5" t="s">
        <v>15</v>
      </c>
      <c r="F47" s="7" t="s">
        <v>16</v>
      </c>
      <c r="G47" s="8" t="s">
        <v>222</v>
      </c>
      <c r="H47" s="8" t="s">
        <v>223</v>
      </c>
      <c r="I47" s="9" t="s">
        <v>91</v>
      </c>
      <c r="J47" s="10">
        <f>IF(I47="✓ ĐÃ XONG","Hoàn thành","Đang chờ")</f>
      </c>
    </row>
    <row r="48" ht="42" customHeight="1" spans="1:10" x14ac:dyDescent="0.25">
      <c r="A48" s="11" t="s">
        <v>224</v>
      </c>
      <c r="B48" s="12" t="s">
        <v>178</v>
      </c>
      <c r="C48" s="13" t="s">
        <v>216</v>
      </c>
      <c r="D48" s="14" t="s">
        <v>225</v>
      </c>
      <c r="E48" s="13" t="s">
        <v>15</v>
      </c>
      <c r="F48" s="15" t="s">
        <v>16</v>
      </c>
      <c r="G48" s="16" t="s">
        <v>226</v>
      </c>
      <c r="H48" s="16" t="s">
        <v>227</v>
      </c>
      <c r="I48" s="17" t="s">
        <v>91</v>
      </c>
      <c r="J48" s="18">
        <f>IF(I48="✓ ĐÃ XONG","Hoàn thành","Đang chờ")</f>
      </c>
    </row>
    <row r="49" ht="42" customHeight="1" spans="1:10" x14ac:dyDescent="0.25">
      <c r="A49" s="3" t="s">
        <v>228</v>
      </c>
      <c r="B49" s="4" t="s">
        <v>178</v>
      </c>
      <c r="C49" s="5" t="s">
        <v>229</v>
      </c>
      <c r="D49" s="6" t="s">
        <v>230</v>
      </c>
      <c r="E49" s="5" t="s">
        <v>74</v>
      </c>
      <c r="F49" s="7" t="s">
        <v>16</v>
      </c>
      <c r="G49" s="8" t="s">
        <v>231</v>
      </c>
      <c r="H49" s="8" t="s">
        <v>232</v>
      </c>
      <c r="I49" s="9" t="s">
        <v>91</v>
      </c>
      <c r="J49" s="10">
        <f>IF(I49="✓ ĐÃ XONG","Hoàn thành","Đang chờ")</f>
      </c>
    </row>
    <row r="50" ht="42" customHeight="1" spans="1:10" x14ac:dyDescent="0.25">
      <c r="A50" s="11" t="s">
        <v>233</v>
      </c>
      <c r="B50" s="12" t="s">
        <v>178</v>
      </c>
      <c r="C50" s="13" t="s">
        <v>234</v>
      </c>
      <c r="D50" s="14" t="s">
        <v>235</v>
      </c>
      <c r="E50" s="13" t="s">
        <v>74</v>
      </c>
      <c r="F50" s="15" t="s">
        <v>16</v>
      </c>
      <c r="G50" s="16" t="s">
        <v>236</v>
      </c>
      <c r="H50" s="16" t="s">
        <v>237</v>
      </c>
      <c r="I50" s="17" t="s">
        <v>91</v>
      </c>
      <c r="J50" s="18">
        <f>IF(I50="✓ ĐÃ XONG","Hoàn thành","Đang chờ")</f>
      </c>
    </row>
    <row r="51" ht="42" customHeight="1" spans="1:10" x14ac:dyDescent="0.25">
      <c r="A51" s="3" t="s">
        <v>238</v>
      </c>
      <c r="B51" s="4" t="s">
        <v>178</v>
      </c>
      <c r="C51" s="5" t="s">
        <v>216</v>
      </c>
      <c r="D51" s="6" t="s">
        <v>239</v>
      </c>
      <c r="E51" s="5" t="s">
        <v>15</v>
      </c>
      <c r="F51" s="7" t="s">
        <v>16</v>
      </c>
      <c r="G51" s="8" t="s">
        <v>240</v>
      </c>
      <c r="H51" s="8" t="s">
        <v>241</v>
      </c>
      <c r="I51" s="9" t="s">
        <v>91</v>
      </c>
      <c r="J51" s="10">
        <f>IF(I51="✓ ĐÃ XONG","Hoàn thành","Đang chờ")</f>
      </c>
    </row>
    <row r="52" ht="42" customHeight="1" spans="1:10" x14ac:dyDescent="0.25">
      <c r="A52" s="11" t="s">
        <v>242</v>
      </c>
      <c r="B52" s="12" t="s">
        <v>178</v>
      </c>
      <c r="C52" s="13" t="s">
        <v>243</v>
      </c>
      <c r="D52" s="14" t="s">
        <v>244</v>
      </c>
      <c r="E52" s="13" t="s">
        <v>15</v>
      </c>
      <c r="F52" s="15" t="s">
        <v>16</v>
      </c>
      <c r="G52" s="16" t="s">
        <v>245</v>
      </c>
      <c r="H52" s="16" t="s">
        <v>246</v>
      </c>
      <c r="I52" s="17" t="s">
        <v>91</v>
      </c>
      <c r="J52" s="18">
        <f>IF(I52="✓ ĐÃ XONG","Hoàn thành","Đang chờ")</f>
      </c>
    </row>
    <row r="53" ht="42" customHeight="1" spans="1:10" x14ac:dyDescent="0.25">
      <c r="A53" s="3" t="s">
        <v>247</v>
      </c>
      <c r="B53" s="4" t="s">
        <v>178</v>
      </c>
      <c r="C53" s="5" t="s">
        <v>243</v>
      </c>
      <c r="D53" s="6" t="s">
        <v>248</v>
      </c>
      <c r="E53" s="5" t="s">
        <v>15</v>
      </c>
      <c r="F53" s="7" t="s">
        <v>16</v>
      </c>
      <c r="G53" s="8" t="s">
        <v>249</v>
      </c>
      <c r="H53" s="8" t="s">
        <v>250</v>
      </c>
      <c r="I53" s="9" t="s">
        <v>91</v>
      </c>
      <c r="J53" s="10">
        <f>IF(I53="✓ ĐÃ XONG","Hoàn thành","Đang chờ")</f>
      </c>
    </row>
    <row r="54" ht="42" customHeight="1" spans="1:10" x14ac:dyDescent="0.25">
      <c r="A54" s="11" t="s">
        <v>251</v>
      </c>
      <c r="B54" s="12" t="s">
        <v>178</v>
      </c>
      <c r="C54" s="13" t="s">
        <v>243</v>
      </c>
      <c r="D54" s="14" t="s">
        <v>252</v>
      </c>
      <c r="E54" s="13" t="s">
        <v>15</v>
      </c>
      <c r="F54" s="15" t="s">
        <v>16</v>
      </c>
      <c r="G54" s="16" t="s">
        <v>253</v>
      </c>
      <c r="H54" s="16" t="s">
        <v>254</v>
      </c>
      <c r="I54" s="17" t="s">
        <v>91</v>
      </c>
      <c r="J54" s="18">
        <f>IF(I54="✓ ĐÃ XONG","Hoàn thành","Đang chờ")</f>
      </c>
    </row>
    <row r="55" ht="42" customHeight="1" spans="1:10" x14ac:dyDescent="0.25">
      <c r="A55" s="3" t="s">
        <v>255</v>
      </c>
      <c r="B55" s="4" t="s">
        <v>178</v>
      </c>
      <c r="C55" s="5" t="s">
        <v>256</v>
      </c>
      <c r="D55" s="6" t="s">
        <v>257</v>
      </c>
      <c r="E55" s="5" t="s">
        <v>74</v>
      </c>
      <c r="F55" s="19" t="s">
        <v>43</v>
      </c>
      <c r="G55" s="8" t="s">
        <v>258</v>
      </c>
      <c r="H55" s="8" t="s">
        <v>259</v>
      </c>
      <c r="I55" s="9" t="s">
        <v>91</v>
      </c>
      <c r="J55" s="10">
        <f>IF(I55="✓ ĐÃ XONG","Hoàn thành","Đang chờ")</f>
      </c>
    </row>
    <row r="56" ht="42" customHeight="1" spans="1:10" x14ac:dyDescent="0.25">
      <c r="A56" s="11" t="s">
        <v>260</v>
      </c>
      <c r="B56" s="12" t="s">
        <v>178</v>
      </c>
      <c r="C56" s="13" t="s">
        <v>216</v>
      </c>
      <c r="D56" s="14" t="s">
        <v>261</v>
      </c>
      <c r="E56" s="13" t="s">
        <v>15</v>
      </c>
      <c r="F56" s="15" t="s">
        <v>16</v>
      </c>
      <c r="G56" s="16" t="s">
        <v>262</v>
      </c>
      <c r="H56" s="16" t="s">
        <v>263</v>
      </c>
      <c r="I56" s="17" t="s">
        <v>91</v>
      </c>
      <c r="J56" s="18">
        <f>IF(I56="✓ ĐÃ XONG","Hoàn thành","Đang chờ")</f>
      </c>
    </row>
    <row r="57" ht="42" customHeight="1" spans="1:10" x14ac:dyDescent="0.25">
      <c r="A57" s="3" t="s">
        <v>264</v>
      </c>
      <c r="B57" s="4" t="s">
        <v>178</v>
      </c>
      <c r="C57" s="5" t="s">
        <v>265</v>
      </c>
      <c r="D57" s="6" t="s">
        <v>266</v>
      </c>
      <c r="E57" s="5" t="s">
        <v>15</v>
      </c>
      <c r="F57" s="7" t="s">
        <v>16</v>
      </c>
      <c r="G57" s="8" t="s">
        <v>267</v>
      </c>
      <c r="H57" s="8" t="s">
        <v>268</v>
      </c>
      <c r="I57" s="9" t="s">
        <v>91</v>
      </c>
      <c r="J57" s="10">
        <f>IF(I57="✓ ĐÃ XONG","Hoàn thành","Đang chờ")</f>
      </c>
    </row>
    <row r="58" ht="42" customHeight="1" spans="1:10" x14ac:dyDescent="0.25">
      <c r="A58" s="11" t="s">
        <v>269</v>
      </c>
      <c r="B58" s="12" t="s">
        <v>270</v>
      </c>
      <c r="C58" s="13" t="s">
        <v>271</v>
      </c>
      <c r="D58" s="14" t="s">
        <v>272</v>
      </c>
      <c r="E58" s="13" t="s">
        <v>15</v>
      </c>
      <c r="F58" s="20" t="s">
        <v>43</v>
      </c>
      <c r="G58" s="16" t="s">
        <v>273</v>
      </c>
      <c r="H58" s="16" t="s">
        <v>274</v>
      </c>
      <c r="I58" s="17" t="s">
        <v>91</v>
      </c>
      <c r="J58" s="18">
        <f>IF(I58="✓ ĐÃ XONG","Hoàn thành","Đang chờ")</f>
      </c>
    </row>
    <row r="59" ht="42" customHeight="1" spans="1:10" x14ac:dyDescent="0.25">
      <c r="A59" s="3" t="s">
        <v>275</v>
      </c>
      <c r="B59" s="4" t="s">
        <v>270</v>
      </c>
      <c r="C59" s="5" t="s">
        <v>271</v>
      </c>
      <c r="D59" s="6" t="s">
        <v>276</v>
      </c>
      <c r="E59" s="5" t="s">
        <v>15</v>
      </c>
      <c r="F59" s="19" t="s">
        <v>43</v>
      </c>
      <c r="G59" s="8" t="s">
        <v>277</v>
      </c>
      <c r="H59" s="8" t="s">
        <v>278</v>
      </c>
      <c r="I59" s="9" t="s">
        <v>91</v>
      </c>
      <c r="J59" s="10">
        <f>IF(I59="✓ ĐÃ XONG","Hoàn thành","Đang chờ")</f>
      </c>
    </row>
    <row r="60" ht="42" customHeight="1" spans="1:10" x14ac:dyDescent="0.25">
      <c r="A60" s="11" t="s">
        <v>279</v>
      </c>
      <c r="B60" s="12" t="s">
        <v>270</v>
      </c>
      <c r="C60" s="13" t="s">
        <v>271</v>
      </c>
      <c r="D60" s="14" t="s">
        <v>280</v>
      </c>
      <c r="E60" s="13" t="s">
        <v>212</v>
      </c>
      <c r="F60" s="20" t="s">
        <v>43</v>
      </c>
      <c r="G60" s="16" t="s">
        <v>281</v>
      </c>
      <c r="H60" s="16" t="s">
        <v>282</v>
      </c>
      <c r="I60" s="17" t="s">
        <v>91</v>
      </c>
      <c r="J60" s="18">
        <f>IF(I60="✓ ĐÃ XONG","Hoàn thành","Đang chờ")</f>
      </c>
    </row>
    <row r="61" ht="42" customHeight="1" spans="1:10" x14ac:dyDescent="0.25">
      <c r="A61" s="3" t="s">
        <v>283</v>
      </c>
      <c r="B61" s="4" t="s">
        <v>270</v>
      </c>
      <c r="C61" s="5" t="s">
        <v>284</v>
      </c>
      <c r="D61" s="6" t="s">
        <v>285</v>
      </c>
      <c r="E61" s="5" t="s">
        <v>74</v>
      </c>
      <c r="F61" s="19" t="s">
        <v>43</v>
      </c>
      <c r="G61" s="8" t="s">
        <v>286</v>
      </c>
      <c r="H61" s="8" t="s">
        <v>287</v>
      </c>
      <c r="I61" s="9" t="s">
        <v>91</v>
      </c>
      <c r="J61" s="10">
        <f>IF(I61="✓ ĐÃ XONG","Hoàn thành","Đang chờ")</f>
      </c>
    </row>
    <row r="62" ht="42" customHeight="1" spans="1:10" x14ac:dyDescent="0.25">
      <c r="A62" s="11" t="s">
        <v>288</v>
      </c>
      <c r="B62" s="12" t="s">
        <v>270</v>
      </c>
      <c r="C62" s="13" t="s">
        <v>284</v>
      </c>
      <c r="D62" s="14" t="s">
        <v>289</v>
      </c>
      <c r="E62" s="13" t="s">
        <v>212</v>
      </c>
      <c r="F62" s="20" t="s">
        <v>43</v>
      </c>
      <c r="G62" s="16" t="s">
        <v>290</v>
      </c>
      <c r="H62" s="16" t="s">
        <v>291</v>
      </c>
      <c r="I62" s="17" t="s">
        <v>91</v>
      </c>
      <c r="J62" s="18">
        <f>IF(I62="✓ ĐÃ XONG","Hoàn thành","Đang chờ")</f>
      </c>
    </row>
    <row r="63" ht="42" customHeight="1" spans="1:10" x14ac:dyDescent="0.25">
      <c r="A63" s="3" t="s">
        <v>292</v>
      </c>
      <c r="B63" s="4" t="s">
        <v>270</v>
      </c>
      <c r="C63" s="5" t="s">
        <v>284</v>
      </c>
      <c r="D63" s="6" t="s">
        <v>293</v>
      </c>
      <c r="E63" s="5" t="s">
        <v>74</v>
      </c>
      <c r="F63" s="19" t="s">
        <v>43</v>
      </c>
      <c r="G63" s="8" t="s">
        <v>294</v>
      </c>
      <c r="H63" s="8" t="s">
        <v>295</v>
      </c>
      <c r="I63" s="9" t="s">
        <v>91</v>
      </c>
      <c r="J63" s="10">
        <f>IF(I63="✓ ĐÃ XONG","Hoàn thành","Đang chờ")</f>
      </c>
    </row>
    <row r="64" ht="42" customHeight="1" spans="1:10" x14ac:dyDescent="0.25">
      <c r="A64" s="11" t="s">
        <v>296</v>
      </c>
      <c r="B64" s="12" t="s">
        <v>270</v>
      </c>
      <c r="C64" s="13" t="s">
        <v>284</v>
      </c>
      <c r="D64" s="14" t="s">
        <v>297</v>
      </c>
      <c r="E64" s="13" t="s">
        <v>74</v>
      </c>
      <c r="F64" s="20" t="s">
        <v>43</v>
      </c>
      <c r="G64" s="16" t="s">
        <v>298</v>
      </c>
      <c r="H64" s="16" t="s">
        <v>299</v>
      </c>
      <c r="I64" s="17" t="s">
        <v>91</v>
      </c>
      <c r="J64" s="18">
        <f>IF(I64="✓ ĐÃ XONG","Hoàn thành","Đang chờ")</f>
      </c>
    </row>
    <row r="65" ht="42" customHeight="1" spans="1:10" x14ac:dyDescent="0.25">
      <c r="A65" s="3" t="s">
        <v>300</v>
      </c>
      <c r="B65" s="4" t="s">
        <v>270</v>
      </c>
      <c r="C65" s="5" t="s">
        <v>301</v>
      </c>
      <c r="D65" s="6" t="s">
        <v>302</v>
      </c>
      <c r="E65" s="5" t="s">
        <v>74</v>
      </c>
      <c r="F65" s="19" t="s">
        <v>43</v>
      </c>
      <c r="G65" s="8" t="s">
        <v>303</v>
      </c>
      <c r="H65" s="8" t="s">
        <v>304</v>
      </c>
      <c r="I65" s="9" t="s">
        <v>91</v>
      </c>
      <c r="J65" s="10">
        <f>IF(I65="✓ ĐÃ XONG","Hoàn thành","Đang chờ")</f>
      </c>
    </row>
    <row r="66" ht="42" customHeight="1" spans="1:10" x14ac:dyDescent="0.25">
      <c r="A66" s="11" t="s">
        <v>305</v>
      </c>
      <c r="B66" s="12" t="s">
        <v>270</v>
      </c>
      <c r="C66" s="13" t="s">
        <v>301</v>
      </c>
      <c r="D66" s="14" t="s">
        <v>306</v>
      </c>
      <c r="E66" s="13" t="s">
        <v>212</v>
      </c>
      <c r="F66" s="20" t="s">
        <v>43</v>
      </c>
      <c r="G66" s="16" t="s">
        <v>307</v>
      </c>
      <c r="H66" s="16" t="s">
        <v>308</v>
      </c>
      <c r="I66" s="17" t="s">
        <v>91</v>
      </c>
      <c r="J66" s="18">
        <f>IF(I66="✓ ĐÃ XONG","Hoàn thành","Đang chờ")</f>
      </c>
    </row>
    <row r="67" ht="42" customHeight="1" spans="1:10" x14ac:dyDescent="0.25">
      <c r="A67" s="3" t="s">
        <v>309</v>
      </c>
      <c r="B67" s="4" t="s">
        <v>270</v>
      </c>
      <c r="C67" s="5" t="s">
        <v>301</v>
      </c>
      <c r="D67" s="6" t="s">
        <v>310</v>
      </c>
      <c r="E67" s="5" t="s">
        <v>212</v>
      </c>
      <c r="F67" s="19" t="s">
        <v>43</v>
      </c>
      <c r="G67" s="8" t="s">
        <v>311</v>
      </c>
      <c r="H67" s="8" t="s">
        <v>312</v>
      </c>
      <c r="I67" s="9" t="s">
        <v>91</v>
      </c>
      <c r="J67" s="10">
        <f>IF(I67="✓ ĐÃ XONG","Hoàn thành","Đang chờ")</f>
      </c>
    </row>
    <row r="68" ht="42" customHeight="1" spans="1:10" x14ac:dyDescent="0.25">
      <c r="A68" s="11" t="s">
        <v>313</v>
      </c>
      <c r="B68" s="12" t="s">
        <v>270</v>
      </c>
      <c r="C68" s="13" t="s">
        <v>301</v>
      </c>
      <c r="D68" s="14" t="s">
        <v>314</v>
      </c>
      <c r="E68" s="13" t="s">
        <v>212</v>
      </c>
      <c r="F68" s="20" t="s">
        <v>43</v>
      </c>
      <c r="G68" s="16" t="s">
        <v>315</v>
      </c>
      <c r="H68" s="16" t="s">
        <v>316</v>
      </c>
      <c r="I68" s="17" t="s">
        <v>91</v>
      </c>
      <c r="J68" s="18">
        <f>IF(I68="✓ ĐÃ XONG","Hoàn thành","Đang chờ")</f>
      </c>
    </row>
    <row r="69" ht="42" customHeight="1" spans="1:10" x14ac:dyDescent="0.25">
      <c r="A69" s="3" t="s">
        <v>317</v>
      </c>
      <c r="B69" s="4" t="s">
        <v>270</v>
      </c>
      <c r="C69" s="5" t="s">
        <v>301</v>
      </c>
      <c r="D69" s="6" t="s">
        <v>318</v>
      </c>
      <c r="E69" s="5" t="s">
        <v>15</v>
      </c>
      <c r="F69" s="19" t="s">
        <v>43</v>
      </c>
      <c r="G69" s="8" t="s">
        <v>319</v>
      </c>
      <c r="H69" s="8" t="s">
        <v>320</v>
      </c>
      <c r="I69" s="9" t="s">
        <v>91</v>
      </c>
      <c r="J69" s="10">
        <f>IF(I69="✓ ĐÃ XONG","Hoàn thành","Đang chờ")</f>
      </c>
    </row>
    <row r="70" ht="42" customHeight="1" spans="1:10" x14ac:dyDescent="0.25">
      <c r="A70" s="11" t="s">
        <v>321</v>
      </c>
      <c r="B70" s="12" t="s">
        <v>270</v>
      </c>
      <c r="C70" s="13" t="s">
        <v>265</v>
      </c>
      <c r="D70" s="14" t="s">
        <v>322</v>
      </c>
      <c r="E70" s="13" t="s">
        <v>15</v>
      </c>
      <c r="F70" s="21" t="s">
        <v>323</v>
      </c>
      <c r="G70" s="16" t="s">
        <v>324</v>
      </c>
      <c r="H70" s="16" t="s">
        <v>325</v>
      </c>
      <c r="I70" s="17" t="s">
        <v>91</v>
      </c>
      <c r="J70" s="18">
        <f>IF(I70="✓ ĐÃ XONG","Hoàn thành","Đang chờ")</f>
      </c>
    </row>
    <row r="71" ht="42" customHeight="1" spans="1:10" x14ac:dyDescent="0.25">
      <c r="A71" s="3" t="s">
        <v>326</v>
      </c>
      <c r="B71" s="4" t="s">
        <v>270</v>
      </c>
      <c r="C71" s="5" t="s">
        <v>327</v>
      </c>
      <c r="D71" s="6" t="s">
        <v>328</v>
      </c>
      <c r="E71" s="5" t="s">
        <v>212</v>
      </c>
      <c r="F71" s="22" t="s">
        <v>323</v>
      </c>
      <c r="G71" s="8" t="s">
        <v>329</v>
      </c>
      <c r="H71" s="8" t="s">
        <v>330</v>
      </c>
      <c r="I71" s="9" t="s">
        <v>91</v>
      </c>
      <c r="J71" s="10">
        <f>IF(I71="✓ ĐÃ XONG","Hoàn thành","Đang chờ")</f>
      </c>
    </row>
    <row r="72" ht="42" customHeight="1" spans="1:10" x14ac:dyDescent="0.25">
      <c r="A72" s="11" t="s">
        <v>331</v>
      </c>
      <c r="B72" s="12" t="s">
        <v>270</v>
      </c>
      <c r="C72" s="13" t="s">
        <v>265</v>
      </c>
      <c r="D72" s="14" t="s">
        <v>332</v>
      </c>
      <c r="E72" s="13" t="s">
        <v>15</v>
      </c>
      <c r="F72" s="21" t="s">
        <v>323</v>
      </c>
      <c r="G72" s="16" t="s">
        <v>333</v>
      </c>
      <c r="H72" s="16" t="s">
        <v>334</v>
      </c>
      <c r="I72" s="17" t="s">
        <v>91</v>
      </c>
      <c r="J72" s="18">
        <f>IF(I72="✓ ĐÃ XONG","Hoàn thành","Đang chờ")</f>
      </c>
    </row>
    <row r="73" ht="42" customHeight="1" spans="1:10" x14ac:dyDescent="0.25">
      <c r="A73" s="3" t="s">
        <v>335</v>
      </c>
      <c r="B73" s="4" t="s">
        <v>336</v>
      </c>
      <c r="C73" s="5" t="s">
        <v>337</v>
      </c>
      <c r="D73" s="6" t="s">
        <v>338</v>
      </c>
      <c r="E73" s="5" t="s">
        <v>339</v>
      </c>
      <c r="F73" s="7" t="s">
        <v>16</v>
      </c>
      <c r="G73" s="8" t="s">
        <v>340</v>
      </c>
      <c r="H73" s="8" t="s">
        <v>341</v>
      </c>
      <c r="I73" s="9" t="s">
        <v>91</v>
      </c>
      <c r="J73" s="10">
        <f>IF(I73="✓ ĐÃ XONG","Hoàn thành","Đang chờ")</f>
      </c>
    </row>
    <row r="74" ht="42" customHeight="1" spans="1:10" x14ac:dyDescent="0.25">
      <c r="A74" s="11" t="s">
        <v>342</v>
      </c>
      <c r="B74" s="12" t="s">
        <v>336</v>
      </c>
      <c r="C74" s="13" t="s">
        <v>337</v>
      </c>
      <c r="D74" s="14" t="s">
        <v>343</v>
      </c>
      <c r="E74" s="13" t="s">
        <v>339</v>
      </c>
      <c r="F74" s="15" t="s">
        <v>16</v>
      </c>
      <c r="G74" s="16" t="s">
        <v>344</v>
      </c>
      <c r="H74" s="16" t="s">
        <v>345</v>
      </c>
      <c r="I74" s="17" t="s">
        <v>91</v>
      </c>
      <c r="J74" s="18">
        <f>IF(I74="✓ ĐÃ XONG","Hoàn thành","Đang chờ")</f>
      </c>
    </row>
    <row r="75" ht="42" customHeight="1" spans="1:10" x14ac:dyDescent="0.25">
      <c r="A75" s="3" t="s">
        <v>346</v>
      </c>
      <c r="B75" s="4" t="s">
        <v>336</v>
      </c>
      <c r="C75" s="5" t="s">
        <v>337</v>
      </c>
      <c r="D75" s="6" t="s">
        <v>347</v>
      </c>
      <c r="E75" s="5" t="s">
        <v>339</v>
      </c>
      <c r="F75" s="7" t="s">
        <v>16</v>
      </c>
      <c r="G75" s="8" t="s">
        <v>348</v>
      </c>
      <c r="H75" s="8" t="s">
        <v>349</v>
      </c>
      <c r="I75" s="9" t="s">
        <v>91</v>
      </c>
      <c r="J75" s="10">
        <f>IF(I75="✓ ĐÃ XONG","Hoàn thành","Đang chờ")</f>
      </c>
    </row>
    <row r="76" ht="42" customHeight="1" spans="1:10" x14ac:dyDescent="0.25">
      <c r="A76" s="11" t="s">
        <v>350</v>
      </c>
      <c r="B76" s="12" t="s">
        <v>336</v>
      </c>
      <c r="C76" s="13" t="s">
        <v>337</v>
      </c>
      <c r="D76" s="14" t="s">
        <v>351</v>
      </c>
      <c r="E76" s="13" t="s">
        <v>339</v>
      </c>
      <c r="F76" s="15" t="s">
        <v>16</v>
      </c>
      <c r="G76" s="16" t="s">
        <v>352</v>
      </c>
      <c r="H76" s="16" t="s">
        <v>353</v>
      </c>
      <c r="I76" s="17" t="s">
        <v>91</v>
      </c>
      <c r="J76" s="18">
        <f>IF(I76="✓ ĐÃ XONG","Hoàn thành","Đang chờ")</f>
      </c>
    </row>
    <row r="77" ht="42" customHeight="1" spans="1:10" x14ac:dyDescent="0.25">
      <c r="A77" s="3" t="s">
        <v>354</v>
      </c>
      <c r="B77" s="4" t="s">
        <v>336</v>
      </c>
      <c r="C77" s="5" t="s">
        <v>337</v>
      </c>
      <c r="D77" s="6" t="s">
        <v>355</v>
      </c>
      <c r="E77" s="5" t="s">
        <v>339</v>
      </c>
      <c r="F77" s="19" t="s">
        <v>43</v>
      </c>
      <c r="G77" s="8" t="s">
        <v>356</v>
      </c>
      <c r="H77" s="8" t="s">
        <v>357</v>
      </c>
      <c r="I77" s="9" t="s">
        <v>91</v>
      </c>
      <c r="J77" s="10">
        <f>IF(I77="✓ ĐÃ XONG","Hoàn thành","Đang chờ")</f>
      </c>
    </row>
    <row r="78" ht="42" customHeight="1" spans="1:10" x14ac:dyDescent="0.25">
      <c r="A78" s="11" t="s">
        <v>358</v>
      </c>
      <c r="B78" s="12" t="s">
        <v>336</v>
      </c>
      <c r="C78" s="13" t="s">
        <v>337</v>
      </c>
      <c r="D78" s="14" t="s">
        <v>359</v>
      </c>
      <c r="E78" s="13" t="s">
        <v>339</v>
      </c>
      <c r="F78" s="20" t="s">
        <v>43</v>
      </c>
      <c r="G78" s="16" t="s">
        <v>360</v>
      </c>
      <c r="H78" s="16" t="s">
        <v>361</v>
      </c>
      <c r="I78" s="17" t="s">
        <v>91</v>
      </c>
      <c r="J78" s="18">
        <f>IF(I78="✓ ĐÃ XONG","Hoàn thành","Đang chờ")</f>
      </c>
    </row>
    <row r="79" ht="42" customHeight="1" spans="1:10" x14ac:dyDescent="0.25">
      <c r="A79" s="3" t="s">
        <v>362</v>
      </c>
      <c r="B79" s="4" t="s">
        <v>336</v>
      </c>
      <c r="C79" s="5" t="s">
        <v>337</v>
      </c>
      <c r="D79" s="6" t="s">
        <v>363</v>
      </c>
      <c r="E79" s="5" t="s">
        <v>339</v>
      </c>
      <c r="F79" s="19" t="s">
        <v>43</v>
      </c>
      <c r="G79" s="8" t="s">
        <v>364</v>
      </c>
      <c r="H79" s="8" t="s">
        <v>365</v>
      </c>
      <c r="I79" s="9" t="s">
        <v>91</v>
      </c>
      <c r="J79" s="10">
        <f>IF(I79="✓ ĐÃ XONG","Hoàn thành","Đang chờ")</f>
      </c>
    </row>
    <row r="80" ht="42" customHeight="1" spans="1:10" x14ac:dyDescent="0.25">
      <c r="A80" s="11" t="s">
        <v>366</v>
      </c>
      <c r="B80" s="12" t="s">
        <v>336</v>
      </c>
      <c r="C80" s="13" t="s">
        <v>367</v>
      </c>
      <c r="D80" s="14" t="s">
        <v>368</v>
      </c>
      <c r="E80" s="13" t="s">
        <v>339</v>
      </c>
      <c r="F80" s="15" t="s">
        <v>16</v>
      </c>
      <c r="G80" s="16" t="s">
        <v>369</v>
      </c>
      <c r="H80" s="16" t="s">
        <v>370</v>
      </c>
      <c r="I80" s="17" t="s">
        <v>91</v>
      </c>
      <c r="J80" s="18">
        <f>IF(I80="✓ ĐÃ XONG","Hoàn thành","Đang chờ")</f>
      </c>
    </row>
    <row r="81" ht="42" customHeight="1" spans="1:10" x14ac:dyDescent="0.25">
      <c r="A81" s="3" t="s">
        <v>371</v>
      </c>
      <c r="B81" s="4" t="s">
        <v>336</v>
      </c>
      <c r="C81" s="5" t="s">
        <v>372</v>
      </c>
      <c r="D81" s="6" t="s">
        <v>373</v>
      </c>
      <c r="E81" s="5" t="s">
        <v>339</v>
      </c>
      <c r="F81" s="7" t="s">
        <v>16</v>
      </c>
      <c r="G81" s="8" t="s">
        <v>374</v>
      </c>
      <c r="H81" s="8" t="s">
        <v>375</v>
      </c>
      <c r="I81" s="9" t="s">
        <v>91</v>
      </c>
      <c r="J81" s="10">
        <f>IF(I81="✓ ĐÃ XONG","Hoàn thành","Đang chờ")</f>
      </c>
    </row>
    <row r="82" ht="42" customHeight="1" spans="1:10" x14ac:dyDescent="0.25">
      <c r="A82" s="11" t="s">
        <v>376</v>
      </c>
      <c r="B82" s="12" t="s">
        <v>336</v>
      </c>
      <c r="C82" s="13" t="s">
        <v>377</v>
      </c>
      <c r="D82" s="14" t="s">
        <v>378</v>
      </c>
      <c r="E82" s="13" t="s">
        <v>58</v>
      </c>
      <c r="F82" s="20" t="s">
        <v>43</v>
      </c>
      <c r="G82" s="16" t="s">
        <v>379</v>
      </c>
      <c r="H82" s="16" t="s">
        <v>380</v>
      </c>
      <c r="I82" s="17" t="s">
        <v>91</v>
      </c>
      <c r="J82" s="18">
        <f>IF(I82="✓ ĐÃ XONG","Hoàn thành","Đang chờ")</f>
      </c>
    </row>
    <row r="83" ht="42" customHeight="1" spans="1:10" x14ac:dyDescent="0.25">
      <c r="A83" s="3" t="s">
        <v>381</v>
      </c>
      <c r="B83" s="4" t="s">
        <v>382</v>
      </c>
      <c r="C83" s="5" t="s">
        <v>383</v>
      </c>
      <c r="D83" s="6" t="s">
        <v>384</v>
      </c>
      <c r="E83" s="5" t="s">
        <v>383</v>
      </c>
      <c r="F83" s="7" t="s">
        <v>16</v>
      </c>
      <c r="G83" s="8" t="s">
        <v>385</v>
      </c>
      <c r="H83" s="8" t="s">
        <v>386</v>
      </c>
      <c r="I83" s="9" t="s">
        <v>91</v>
      </c>
      <c r="J83" s="10">
        <f>IF(I83="✓ ĐÃ XONG","Hoàn thành","Đang chờ")</f>
      </c>
    </row>
    <row r="84" ht="42" customHeight="1" spans="1:10" x14ac:dyDescent="0.25">
      <c r="A84" s="11" t="s">
        <v>387</v>
      </c>
      <c r="B84" s="12" t="s">
        <v>382</v>
      </c>
      <c r="C84" s="13" t="s">
        <v>383</v>
      </c>
      <c r="D84" s="14" t="s">
        <v>388</v>
      </c>
      <c r="E84" s="13" t="s">
        <v>383</v>
      </c>
      <c r="F84" s="15" t="s">
        <v>16</v>
      </c>
      <c r="G84" s="16" t="s">
        <v>389</v>
      </c>
      <c r="H84" s="16" t="s">
        <v>390</v>
      </c>
      <c r="I84" s="17" t="s">
        <v>91</v>
      </c>
      <c r="J84" s="18">
        <f>IF(I84="✓ ĐÃ XONG","Hoàn thành","Đang chờ")</f>
      </c>
    </row>
    <row r="85" ht="42" customHeight="1" spans="1:10" x14ac:dyDescent="0.25">
      <c r="A85" s="3" t="s">
        <v>391</v>
      </c>
      <c r="B85" s="4" t="s">
        <v>382</v>
      </c>
      <c r="C85" s="5" t="s">
        <v>383</v>
      </c>
      <c r="D85" s="6" t="s">
        <v>392</v>
      </c>
      <c r="E85" s="5" t="s">
        <v>383</v>
      </c>
      <c r="F85" s="7" t="s">
        <v>16</v>
      </c>
      <c r="G85" s="8" t="s">
        <v>393</v>
      </c>
      <c r="H85" s="8" t="s">
        <v>394</v>
      </c>
      <c r="I85" s="9" t="s">
        <v>91</v>
      </c>
      <c r="J85" s="10">
        <f>IF(I85="✓ ĐÃ XONG","Hoàn thành","Đang chờ")</f>
      </c>
    </row>
    <row r="86" ht="42" customHeight="1" spans="1:10" x14ac:dyDescent="0.25">
      <c r="A86" s="11" t="s">
        <v>395</v>
      </c>
      <c r="B86" s="12" t="s">
        <v>382</v>
      </c>
      <c r="C86" s="13" t="s">
        <v>383</v>
      </c>
      <c r="D86" s="14" t="s">
        <v>396</v>
      </c>
      <c r="E86" s="13" t="s">
        <v>383</v>
      </c>
      <c r="F86" s="15" t="s">
        <v>16</v>
      </c>
      <c r="G86" s="16" t="s">
        <v>397</v>
      </c>
      <c r="H86" s="16" t="s">
        <v>398</v>
      </c>
      <c r="I86" s="17" t="s">
        <v>91</v>
      </c>
      <c r="J86" s="18">
        <f>IF(I86="✓ ĐÃ XONG","Hoàn thành","Đang chờ")</f>
      </c>
    </row>
    <row r="87" ht="42" customHeight="1" spans="1:10" x14ac:dyDescent="0.25">
      <c r="A87" s="3" t="s">
        <v>399</v>
      </c>
      <c r="B87" s="4" t="s">
        <v>382</v>
      </c>
      <c r="C87" s="5" t="s">
        <v>400</v>
      </c>
      <c r="D87" s="6" t="s">
        <v>401</v>
      </c>
      <c r="E87" s="5" t="s">
        <v>402</v>
      </c>
      <c r="F87" s="7" t="s">
        <v>16</v>
      </c>
      <c r="G87" s="8" t="s">
        <v>403</v>
      </c>
      <c r="H87" s="8" t="s">
        <v>404</v>
      </c>
      <c r="I87" s="9" t="s">
        <v>91</v>
      </c>
      <c r="J87" s="10">
        <f>IF(I87="✓ ĐÃ XONG","Hoàn thành","Đang chờ")</f>
      </c>
    </row>
  </sheetData>
  <autoFilter ref="A2:J87"/>
  <mergeCells count="1">
    <mergeCell ref="A1:J1"/>
  </mergeCells>
  <conditionalFormatting sqref="A3:J87">
    <cfRule type="expression" dxfId="0" priority="1">
      <formula>$I3="✓ ĐÃ XONG"</formula>
    </cfRule>
  </conditionalFormatting>
  <dataValidations count="2">
    <dataValidation type="list" showErrorMessage="1" errorTitle="Giá trị không hợp lệ" error="Vui lòng chọn từ danh sách: ✓ ĐÃ XONG hoặc ☐ CHƯA XONG" sqref="I10:I87">
      <formula1>"✓ ĐÃ XONG,☐ CHƯA XONG"</formula1>
    </dataValidation>
    <dataValidation type="list" showErrorMessage="1" errorTitle="Giá trị không hợp lệ" error="Vui lòng chọn từ danh sách: ✓ ĐÃ XONG hoặc ☐ CHƯA XONG" sqref="I3:I87">
      <formula1>"✓ ĐÃ XONG,☐ CHƯA XONG"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workbookViewId="0" zoomScale="100" zoomScaleNormal="100"/>
  </sheetViews>
  <sheetFormatPr defaultRowHeight="15" outlineLevelRow="0" outlineLevelCol="0" x14ac:dyDescent="55"/>
  <cols>
    <col min="2" max="2" width="46" customWidth="1"/>
    <col min="3" max="6" width="16" customWidth="1"/>
  </cols>
  <sheetData>
    <row r="2" ht="36" customHeight="1" spans="2:6" x14ac:dyDescent="0.25">
      <c r="B2" s="1" t="s">
        <v>405</v>
      </c>
      <c r="C2" s="1"/>
      <c r="D2" s="1"/>
      <c r="E2" s="1"/>
      <c r="F2" s="1"/>
    </row>
    <row r="4" ht="25" customHeight="1" spans="2:3" x14ac:dyDescent="0.25">
      <c r="B4" s="23" t="s">
        <v>406</v>
      </c>
      <c r="C4" s="24">
        <v>85</v>
      </c>
    </row>
    <row r="5" ht="25" customHeight="1" spans="2:3" x14ac:dyDescent="0.25">
      <c r="B5" s="23" t="s">
        <v>407</v>
      </c>
      <c r="C5" s="24">
        <f>COUNTIF('WBS - 85 Tasks Backlog'!I3:I87, "✓ ĐÃ XONG")</f>
      </c>
    </row>
    <row r="6" ht="25" customHeight="1" spans="2:3" x14ac:dyDescent="0.25">
      <c r="B6" s="23" t="s">
        <v>408</v>
      </c>
      <c r="C6" s="24">
        <f>C4-C5</f>
      </c>
    </row>
    <row r="7" ht="28" customHeight="1" spans="2:3" x14ac:dyDescent="0.25">
      <c r="B7" s="23" t="s">
        <v>409</v>
      </c>
      <c r="C7" s="25">
        <f>C5/C4</f>
      </c>
    </row>
    <row r="10" spans="2:2" x14ac:dyDescent="0.25">
      <c r="B10" s="26" t="s">
        <v>410</v>
      </c>
    </row>
    <row r="11" ht="25" customHeight="1" spans="2:6" x14ac:dyDescent="0.25">
      <c r="B11" s="27" t="s">
        <v>411</v>
      </c>
      <c r="C11" s="27" t="s">
        <v>412</v>
      </c>
      <c r="D11" s="27" t="s">
        <v>413</v>
      </c>
      <c r="E11" s="27" t="s">
        <v>414</v>
      </c>
      <c r="F11" s="27" t="s">
        <v>415</v>
      </c>
    </row>
    <row r="12" ht="24" customHeight="1" spans="2:6" x14ac:dyDescent="0.25">
      <c r="B12" s="28" t="s">
        <v>12</v>
      </c>
      <c r="C12" s="29">
        <v>15</v>
      </c>
      <c r="D12" s="30">
        <f>COUNTIF('WBS - 85 Tasks Backlog'!I3:I17, "✓ ĐÃ XONG")</f>
      </c>
      <c r="E12" s="29">
        <f>C12-D12</f>
      </c>
      <c r="F12" s="31">
        <f>D12/C12</f>
      </c>
    </row>
    <row r="13" ht="24" customHeight="1" spans="2:6" x14ac:dyDescent="0.25">
      <c r="B13" s="28" t="s">
        <v>86</v>
      </c>
      <c r="C13" s="29">
        <v>20</v>
      </c>
      <c r="D13" s="30">
        <f>COUNTIF('WBS - 85 Tasks Backlog'!I18:I37, "✓ ĐÃ XONG")</f>
      </c>
      <c r="E13" s="29">
        <f>C13-D13</f>
      </c>
      <c r="F13" s="31">
        <f>D13/C13</f>
      </c>
    </row>
    <row r="14" ht="24" customHeight="1" spans="2:6" x14ac:dyDescent="0.25">
      <c r="B14" s="28" t="s">
        <v>178</v>
      </c>
      <c r="C14" s="29">
        <v>20</v>
      </c>
      <c r="D14" s="30">
        <f>COUNTIF('WBS - 85 Tasks Backlog'!I38:I57, "✓ ĐÃ XONG")</f>
      </c>
      <c r="E14" s="29">
        <f>C14-D14</f>
      </c>
      <c r="F14" s="31">
        <f>D14/C14</f>
      </c>
    </row>
    <row r="15" ht="24" customHeight="1" spans="2:6" x14ac:dyDescent="0.25">
      <c r="B15" s="28" t="s">
        <v>270</v>
      </c>
      <c r="C15" s="29">
        <v>15</v>
      </c>
      <c r="D15" s="30">
        <f>COUNTIF('WBS - 85 Tasks Backlog'!I58:I72, "✓ ĐÃ XONG")</f>
      </c>
      <c r="E15" s="29">
        <f>C15-D15</f>
      </c>
      <c r="F15" s="31">
        <f>D15/C15</f>
      </c>
    </row>
    <row r="16" ht="24" customHeight="1" spans="2:6" x14ac:dyDescent="0.25">
      <c r="B16" s="28" t="s">
        <v>336</v>
      </c>
      <c r="C16" s="29">
        <v>10</v>
      </c>
      <c r="D16" s="30">
        <f>COUNTIF('WBS - 85 Tasks Backlog'!I73:I82, "✓ ĐÃ XONG")</f>
      </c>
      <c r="E16" s="29">
        <f>C16-D16</f>
      </c>
      <c r="F16" s="31">
        <f>D16/C16</f>
      </c>
    </row>
    <row r="17" ht="24" customHeight="1" spans="2:6" x14ac:dyDescent="0.25">
      <c r="B17" s="28" t="s">
        <v>382</v>
      </c>
      <c r="C17" s="29">
        <v>5</v>
      </c>
      <c r="D17" s="30">
        <f>COUNTIF('WBS - 85 Tasks Backlog'!I83:I87, "✓ ĐÃ XONG")</f>
      </c>
      <c r="E17" s="29">
        <f>C17-D17</f>
      </c>
      <c r="F17" s="31">
        <f>D17/C17</f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- 85 Tasks Backlog</vt:lpstr>
      <vt:lpstr>Thống kê Tiến độ (Dashboard)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IDE - Tech Lead</dc:creator>
  <dc:title/>
  <dc:subject/>
  <dc:description/>
  <cp:keywords/>
  <cp:category/>
  <cp:lastModifiedBy>Unknown</cp:lastModifiedBy>
  <dcterms:created xsi:type="dcterms:W3CDTF">2026-10-01T15:47:08Z</dcterms:created>
  <dcterms:modified xsi:type="dcterms:W3CDTF">2026-10-01T15:47:08Z</dcterms:modified>
</cp:coreProperties>
</file>